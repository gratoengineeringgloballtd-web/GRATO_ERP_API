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Grato 2026\kelvin\August Refueling Details\"/>
    </mc:Choice>
  </mc:AlternateContent>
  <xr:revisionPtr revIDLastSave="0" documentId="13_ncr:1_{CA956B00-CC35-48B9-AC90-3F4B92B61F2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Recap" sheetId="5" r:id="rId2"/>
  </sheets>
  <definedNames>
    <definedName name="_xlnm._FilterDatabase" localSheetId="1" hidden="1">Recap!$A$2:$E$9</definedName>
    <definedName name="_xlnm._FilterDatabase" localSheetId="0" hidden="1">Sheet1!$A$2:$Z$166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5" i="5"/>
  <c r="B6" i="5"/>
  <c r="B7" i="5"/>
  <c r="B8" i="5"/>
  <c r="B9" i="5"/>
  <c r="B3" i="5"/>
  <c r="B1" i="5"/>
  <c r="D1" i="5"/>
  <c r="V1" i="1"/>
  <c r="C1" i="5"/>
  <c r="X1" i="1"/>
  <c r="W9" i="1"/>
  <c r="W10" i="1"/>
  <c r="Y13" i="1"/>
  <c r="W16" i="1"/>
  <c r="W17" i="1"/>
  <c r="W18" i="1"/>
  <c r="W22" i="1"/>
  <c r="W23" i="1"/>
  <c r="W25" i="1"/>
  <c r="W27" i="1"/>
  <c r="Y39" i="1"/>
  <c r="W57" i="1"/>
  <c r="W59" i="1"/>
  <c r="W60" i="1"/>
  <c r="Y64" i="1"/>
  <c r="Y68" i="1"/>
  <c r="W69" i="1"/>
  <c r="Y71" i="1"/>
  <c r="Y82" i="1"/>
  <c r="Y86" i="1"/>
  <c r="W87" i="1"/>
  <c r="Y91" i="1"/>
  <c r="W92" i="1"/>
  <c r="Y93" i="1"/>
  <c r="W95" i="1"/>
  <c r="Y97" i="1"/>
  <c r="W101" i="1"/>
  <c r="W103" i="1"/>
  <c r="W106" i="1"/>
  <c r="W112" i="1"/>
  <c r="W120" i="1"/>
  <c r="W121" i="1"/>
  <c r="Y127" i="1"/>
  <c r="Y131" i="1"/>
  <c r="W134" i="1"/>
  <c r="W135" i="1"/>
  <c r="W138" i="1"/>
  <c r="Y139" i="1"/>
  <c r="W145" i="1"/>
  <c r="Y147" i="1"/>
  <c r="Y152" i="1"/>
  <c r="Y153" i="1"/>
  <c r="W163" i="1"/>
  <c r="W166" i="1"/>
  <c r="Q1" i="1"/>
  <c r="W1" i="1" l="1"/>
  <c r="P166" i="1"/>
  <c r="J1" i="1"/>
  <c r="L1" i="1"/>
</calcChain>
</file>

<file path=xl/sharedStrings.xml><?xml version="1.0" encoding="utf-8"?>
<sst xmlns="http://schemas.openxmlformats.org/spreadsheetml/2006/main" count="1373" uniqueCount="555">
  <si>
    <t>REGION</t>
  </si>
  <si>
    <t>Grato Cluster</t>
  </si>
  <si>
    <t>Site ID IHS</t>
  </si>
  <si>
    <t>Site ID</t>
  </si>
  <si>
    <t>SITE NAME</t>
  </si>
  <si>
    <t>Functional topology</t>
  </si>
  <si>
    <t>Site priority</t>
  </si>
  <si>
    <t>Planned Date</t>
  </si>
  <si>
    <t>80% Aug Budget</t>
  </si>
  <si>
    <t>Data Entry Tank Capacity</t>
  </si>
  <si>
    <t>MTD RH</t>
  </si>
  <si>
    <t>RH/Day</t>
  </si>
  <si>
    <t>Qty Left Data Entry</t>
  </si>
  <si>
    <t>Date of Visit</t>
  </si>
  <si>
    <t>IHS_EDA_024</t>
  </si>
  <si>
    <t>Littoral</t>
  </si>
  <si>
    <t>Edea</t>
  </si>
  <si>
    <t>LIT_388</t>
  </si>
  <si>
    <t>Sikoum-II</t>
  </si>
  <si>
    <t>Gen-Lithium</t>
  </si>
  <si>
    <t>P4</t>
  </si>
  <si>
    <t>IHS_DLA_230</t>
  </si>
  <si>
    <t>Kotto</t>
  </si>
  <si>
    <t>T0625</t>
  </si>
  <si>
    <t>Bonamoussadi3</t>
  </si>
  <si>
    <t>Grid-Gen</t>
  </si>
  <si>
    <t>IHS_EDA_064</t>
  </si>
  <si>
    <t>Pouma 2</t>
  </si>
  <si>
    <t>LIT_506</t>
  </si>
  <si>
    <t>Sokelle</t>
  </si>
  <si>
    <t>Hybrid-Gen</t>
  </si>
  <si>
    <t>IHS_BNB_031</t>
  </si>
  <si>
    <t>Bonaberi 1</t>
  </si>
  <si>
    <t>LIT_362</t>
  </si>
  <si>
    <t>Bonabappe-II</t>
  </si>
  <si>
    <t>IHS_DLA_296</t>
  </si>
  <si>
    <t>LIT_227</t>
  </si>
  <si>
    <t>Missole</t>
  </si>
  <si>
    <t>Gen-Hybrid</t>
  </si>
  <si>
    <t>IHS_DLA_423</t>
  </si>
  <si>
    <t>Bonaberi 2</t>
  </si>
  <si>
    <t>T1732</t>
  </si>
  <si>
    <t>Bonaberi Isenbeck</t>
  </si>
  <si>
    <t>P3</t>
  </si>
  <si>
    <t>IHS_BNB_111</t>
  </si>
  <si>
    <t>T2613</t>
  </si>
  <si>
    <t>Bepelle Bloc 1</t>
  </si>
  <si>
    <t>IHS_BNB_116</t>
  </si>
  <si>
    <t>BONAMINKANO MPANJO</t>
  </si>
  <si>
    <t>Gen only</t>
  </si>
  <si>
    <t>IHS_BNB_010</t>
  </si>
  <si>
    <t>T112</t>
  </si>
  <si>
    <t>Sodiko</t>
  </si>
  <si>
    <t>P2</t>
  </si>
  <si>
    <t>IHS_BNB_100</t>
  </si>
  <si>
    <t>T1940</t>
  </si>
  <si>
    <t>Ngwelle 2</t>
  </si>
  <si>
    <t>IHS_DLA_163</t>
  </si>
  <si>
    <t>Ndogbong</t>
  </si>
  <si>
    <t>LIT_024</t>
  </si>
  <si>
    <t>Socaver</t>
  </si>
  <si>
    <t>IHS_BNB_018</t>
  </si>
  <si>
    <t>T518</t>
  </si>
  <si>
    <t>Bonamatoumbe</t>
  </si>
  <si>
    <t>IHS_EDA_025</t>
  </si>
  <si>
    <t>T0762</t>
  </si>
  <si>
    <t>Sikom Mtn</t>
  </si>
  <si>
    <t>TIS</t>
  </si>
  <si>
    <t>IHS_DLA_469</t>
  </si>
  <si>
    <t>T1187</t>
  </si>
  <si>
    <t>MABANDA 4</t>
  </si>
  <si>
    <t>IHS_BNB_024</t>
  </si>
  <si>
    <t>T1700</t>
  </si>
  <si>
    <t>Nkomba 2</t>
  </si>
  <si>
    <t>1000/100</t>
  </si>
  <si>
    <t>IHS_DLA_468</t>
  </si>
  <si>
    <t>T1359</t>
  </si>
  <si>
    <t>Mabanda 3</t>
  </si>
  <si>
    <t>IHS_BNB_101</t>
  </si>
  <si>
    <t>T1935</t>
  </si>
  <si>
    <t>Ndobo</t>
  </si>
  <si>
    <t>IHS_BNB_109</t>
  </si>
  <si>
    <t>Bodjongo abedi</t>
  </si>
  <si>
    <t>IHS_DLA_254</t>
  </si>
  <si>
    <t>LIT_057</t>
  </si>
  <si>
    <t>Bsadi-Terminus</t>
  </si>
  <si>
    <t>IHS_BNB_016</t>
  </si>
  <si>
    <t>LIT_046</t>
  </si>
  <si>
    <t>Du-Levant</t>
  </si>
  <si>
    <t>IHS_BNB_110</t>
  </si>
  <si>
    <t>Bonaminkano Dikolo</t>
  </si>
  <si>
    <t>IHS_DLA_443</t>
  </si>
  <si>
    <t>LIT_435</t>
  </si>
  <si>
    <t>Bonassama</t>
  </si>
  <si>
    <t>IHS_DLA_450</t>
  </si>
  <si>
    <t>LIT_454</t>
  </si>
  <si>
    <t>Kotto Eglise EPC</t>
  </si>
  <si>
    <t>IHS_BNB_027</t>
  </si>
  <si>
    <t>T1129</t>
  </si>
  <si>
    <t>Bonadalle2</t>
  </si>
  <si>
    <t>IHS_BNB_102</t>
  </si>
  <si>
    <t>Ndobo 3</t>
  </si>
  <si>
    <t>IHS_EDA_034</t>
  </si>
  <si>
    <t>T1139</t>
  </si>
  <si>
    <t>MBambu</t>
  </si>
  <si>
    <t>IHS_BNB_012</t>
  </si>
  <si>
    <t>T452</t>
  </si>
  <si>
    <t>Sodiko Gare Routiere</t>
  </si>
  <si>
    <t>P1</t>
  </si>
  <si>
    <t>IHS_BNB_108</t>
  </si>
  <si>
    <t>T3218</t>
  </si>
  <si>
    <t>Ndobo Excellence</t>
  </si>
  <si>
    <t>IHS_DLA_273</t>
  </si>
  <si>
    <t>LIT_358</t>
  </si>
  <si>
    <t>Bonangang</t>
  </si>
  <si>
    <t>IHS_BNB_026</t>
  </si>
  <si>
    <t>T016</t>
  </si>
  <si>
    <t>Bonaberi Warehouse</t>
  </si>
  <si>
    <t>IHS_BNB_029</t>
  </si>
  <si>
    <t>LIT_361</t>
  </si>
  <si>
    <t>Grand-Hangar-II</t>
  </si>
  <si>
    <t>IHS_EDA_022</t>
  </si>
  <si>
    <t>LIT_113</t>
  </si>
  <si>
    <t xml:space="preserve">Dizangue </t>
  </si>
  <si>
    <t>IHS_DLA_297</t>
  </si>
  <si>
    <t>T0168</t>
  </si>
  <si>
    <t>Missole II PK 35</t>
  </si>
  <si>
    <t>Solar-Gen</t>
  </si>
  <si>
    <t>IHS_DLA_227</t>
  </si>
  <si>
    <t>T0864</t>
  </si>
  <si>
    <t>Bonamoussadi Careffour</t>
  </si>
  <si>
    <t>IHS_BNB_006</t>
  </si>
  <si>
    <t>LIT_243</t>
  </si>
  <si>
    <t>Bberi-Centre</t>
  </si>
  <si>
    <t>No report</t>
  </si>
  <si>
    <t>IHS_EDA_013</t>
  </si>
  <si>
    <t>Pouma 1</t>
  </si>
  <si>
    <t>LIT_321</t>
  </si>
  <si>
    <t>Edea-Lom</t>
  </si>
  <si>
    <t>IHS_DLA_501</t>
  </si>
  <si>
    <t>Makepe Orchide</t>
  </si>
  <si>
    <t>IHS_BNB_032</t>
  </si>
  <si>
    <t>LIT_203</t>
  </si>
  <si>
    <t>500 / 60</t>
  </si>
  <si>
    <t>IHS_BNB_021</t>
  </si>
  <si>
    <t>LIT_260</t>
  </si>
  <si>
    <t>Ndobo-Rail</t>
  </si>
  <si>
    <t>IHS_YND_700</t>
  </si>
  <si>
    <t>LIT_507</t>
  </si>
  <si>
    <t>Sibongo</t>
  </si>
  <si>
    <t>IHS_EDA_005</t>
  </si>
  <si>
    <t>LIT_078</t>
  </si>
  <si>
    <t>Edea-Ville</t>
  </si>
  <si>
    <t>IHS_DLA_448</t>
  </si>
  <si>
    <t>LIT_444</t>
  </si>
  <si>
    <t>Bberi-Q-Princes-II</t>
  </si>
  <si>
    <t>IHS_EDA_053</t>
  </si>
  <si>
    <t>T2742</t>
  </si>
  <si>
    <t>DIZANGUE KM14</t>
  </si>
  <si>
    <t>IHS_EDA_046</t>
  </si>
  <si>
    <t>T0409</t>
  </si>
  <si>
    <t>Yo Yo</t>
  </si>
  <si>
    <t>IHS_BNB_104</t>
  </si>
  <si>
    <t>LIT_017</t>
  </si>
  <si>
    <t>Bberi-Chateau</t>
  </si>
  <si>
    <t>IHS_EDA_101</t>
  </si>
  <si>
    <t>LIT_121</t>
  </si>
  <si>
    <t xml:space="preserve">NGOG MBOG </t>
  </si>
  <si>
    <t>IHS_BNB_035</t>
  </si>
  <si>
    <t>T620</t>
  </si>
  <si>
    <t>Bodjongo</t>
  </si>
  <si>
    <t>IHS_DLA_485</t>
  </si>
  <si>
    <t>T2759</t>
  </si>
  <si>
    <t>Denver Total</t>
  </si>
  <si>
    <t>Edea Besseke Market</t>
  </si>
  <si>
    <t>IHS_BNB_105</t>
  </si>
  <si>
    <t>Bonaberie matelo</t>
  </si>
  <si>
    <t>IHS_EDA_019</t>
  </si>
  <si>
    <t>T0575</t>
  </si>
  <si>
    <t>Ngoulmepa</t>
  </si>
  <si>
    <t>IHS_EDA_010</t>
  </si>
  <si>
    <t>T1847</t>
  </si>
  <si>
    <t>New Malimba</t>
  </si>
  <si>
    <t>IHS_BNB_107</t>
  </si>
  <si>
    <t>T3235</t>
  </si>
  <si>
    <t>Bonaberi 4 Etages</t>
  </si>
  <si>
    <t>IHS_BNB_023</t>
  </si>
  <si>
    <t>LIT_364</t>
  </si>
  <si>
    <t>Bonamatoumbe-II</t>
  </si>
  <si>
    <t>IHS_BNB_013</t>
  </si>
  <si>
    <t>T634</t>
  </si>
  <si>
    <t>Bonaminkano</t>
  </si>
  <si>
    <t>IHS_DLA_298</t>
  </si>
  <si>
    <t>LIT_012</t>
  </si>
  <si>
    <t>Sikoum</t>
  </si>
  <si>
    <t>IHS_DLA_146</t>
  </si>
  <si>
    <t>T598</t>
  </si>
  <si>
    <t>Total Ndokotti</t>
  </si>
  <si>
    <t>IHS_DLA_480</t>
  </si>
  <si>
    <t>T3026</t>
  </si>
  <si>
    <t>Bonassama New</t>
  </si>
  <si>
    <t>IHS_EDA_065</t>
  </si>
  <si>
    <t>LIT_509</t>
  </si>
  <si>
    <t>Kopongo</t>
  </si>
  <si>
    <t>IHS_DLA_274</t>
  </si>
  <si>
    <t>T1128</t>
  </si>
  <si>
    <t>Kotto Village</t>
  </si>
  <si>
    <t>IHS_DLA_224</t>
  </si>
  <si>
    <t>T0499</t>
  </si>
  <si>
    <t>Denver - MTN</t>
  </si>
  <si>
    <t>IHS_DLA_505</t>
  </si>
  <si>
    <t>Missoke marche</t>
  </si>
  <si>
    <t>IHS_DLA_293</t>
  </si>
  <si>
    <t>LIT_306</t>
  </si>
  <si>
    <t>Missole-Entree</t>
  </si>
  <si>
    <t>IHS_BNB_103</t>
  </si>
  <si>
    <t>LIT-621</t>
  </si>
  <si>
    <t>Minkwelle 2</t>
  </si>
  <si>
    <t>IHS_EDA_063</t>
  </si>
  <si>
    <t>LIT_517</t>
  </si>
  <si>
    <t>Bihaing</t>
  </si>
  <si>
    <t>IHS_DLA_206</t>
  </si>
  <si>
    <t>T0517</t>
  </si>
  <si>
    <t>Song Kot</t>
  </si>
  <si>
    <t>IHS_BNB_036</t>
  </si>
  <si>
    <t>T1698</t>
  </si>
  <si>
    <t>Minkwelle</t>
  </si>
  <si>
    <t>IHS_EDA_011</t>
  </si>
  <si>
    <t>T0087</t>
  </si>
  <si>
    <t>Edea peage</t>
  </si>
  <si>
    <t>IHS_DLA_124</t>
  </si>
  <si>
    <t>T020</t>
  </si>
  <si>
    <t>Cite Bassa</t>
  </si>
  <si>
    <t>IHS_EDA_070</t>
  </si>
  <si>
    <t>LIT_519</t>
  </si>
  <si>
    <t>Mandjap</t>
  </si>
  <si>
    <t>IHS_EDA_038</t>
  </si>
  <si>
    <t>T0137</t>
  </si>
  <si>
    <t>Mouanko Post Office</t>
  </si>
  <si>
    <t>IHS_EDA_007</t>
  </si>
  <si>
    <t>T1772</t>
  </si>
  <si>
    <t>Edea Beon</t>
  </si>
  <si>
    <t>IHS_EDA_055</t>
  </si>
  <si>
    <t>T1654</t>
  </si>
  <si>
    <t>NDJOKLOUMBE</t>
  </si>
  <si>
    <t>IHS_EDA_015</t>
  </si>
  <si>
    <t>LIT_314</t>
  </si>
  <si>
    <t>Edea-Nkakanzock</t>
  </si>
  <si>
    <t>IHS_EDA_004</t>
  </si>
  <si>
    <t>LIT_313</t>
  </si>
  <si>
    <t>Edea-Bisseke</t>
  </si>
  <si>
    <t>IHS_EDA_030</t>
  </si>
  <si>
    <t>LIT_231</t>
  </si>
  <si>
    <t>Nkak</t>
  </si>
  <si>
    <t>Solar-Gen-Lithium</t>
  </si>
  <si>
    <t>IHS_EDA_028</t>
  </si>
  <si>
    <t>T0770</t>
  </si>
  <si>
    <t>Ebombe2</t>
  </si>
  <si>
    <t>Gen Only</t>
  </si>
  <si>
    <t>IHS_YND_417</t>
  </si>
  <si>
    <t>T0298</t>
  </si>
  <si>
    <t>Sombo</t>
  </si>
  <si>
    <t>IHS_DLA_186</t>
  </si>
  <si>
    <t>T0865</t>
  </si>
  <si>
    <t>Bonamoussadi Sable</t>
  </si>
  <si>
    <t>IHS_DLA_217</t>
  </si>
  <si>
    <t>T0522</t>
  </si>
  <si>
    <t>Makepe St Tropez</t>
  </si>
  <si>
    <t>IHS_EDA_017</t>
  </si>
  <si>
    <t>LIT_230</t>
  </si>
  <si>
    <t>Edea-Ndokok</t>
  </si>
  <si>
    <t>IHS_DLA_255</t>
  </si>
  <si>
    <t>LIT_247</t>
  </si>
  <si>
    <t>Bsadi-BlocJ</t>
  </si>
  <si>
    <t>IHS_KRI_100</t>
  </si>
  <si>
    <t>T2015</t>
  </si>
  <si>
    <t>Elog Batindi/ Mombo Ville</t>
  </si>
  <si>
    <t>IHS_DLA_164</t>
  </si>
  <si>
    <t>LIT_083</t>
  </si>
  <si>
    <t>ZI-Bassa</t>
  </si>
  <si>
    <t>IHS_BNB_017</t>
  </si>
  <si>
    <t>LIT_094</t>
  </si>
  <si>
    <t>Mabanda</t>
  </si>
  <si>
    <t>IHS_EDA_069</t>
  </si>
  <si>
    <t>LIT_515_T0</t>
  </si>
  <si>
    <t>Sodibanga</t>
  </si>
  <si>
    <t>IHS_EDA_060</t>
  </si>
  <si>
    <t>LIT_508_T0</t>
  </si>
  <si>
    <t>Logbong</t>
  </si>
  <si>
    <t>IHS_DLA_534</t>
  </si>
  <si>
    <t>kotto</t>
  </si>
  <si>
    <t>LIT_303</t>
  </si>
  <si>
    <t>Lendi Rue duplex</t>
  </si>
  <si>
    <t>Hybrid-Grid-Gen</t>
  </si>
  <si>
    <t>IHS_DLA_171</t>
  </si>
  <si>
    <t>T497</t>
  </si>
  <si>
    <t>Bassa Zone Industrielle</t>
  </si>
  <si>
    <t>IHS_DLA_272</t>
  </si>
  <si>
    <t>LIT_246</t>
  </si>
  <si>
    <t>Kotto-Bloc</t>
  </si>
  <si>
    <t>IHS_DLA_216</t>
  </si>
  <si>
    <t>LIT_224</t>
  </si>
  <si>
    <t>Makepe-St-Tropez</t>
  </si>
  <si>
    <t>IHS_DLA_223</t>
  </si>
  <si>
    <t>LIT_106</t>
  </si>
  <si>
    <t>Denver</t>
  </si>
  <si>
    <t>IHS_DLA_432</t>
  </si>
  <si>
    <t>LIT_446</t>
  </si>
  <si>
    <t>Bonamoussadi Hôpital</t>
  </si>
  <si>
    <t>IHS_EDA_031</t>
  </si>
  <si>
    <t>LIT_006</t>
  </si>
  <si>
    <t>Ferme-Suisse</t>
  </si>
  <si>
    <t>IHS_DLA_433</t>
  </si>
  <si>
    <t>LIT_442</t>
  </si>
  <si>
    <t>Cite de Paix</t>
  </si>
  <si>
    <t>IHS_EDA_068</t>
  </si>
  <si>
    <t>LIT_513</t>
  </si>
  <si>
    <t>Poutkak</t>
  </si>
  <si>
    <t>IHS_EDA_026</t>
  </si>
  <si>
    <t>T1734</t>
  </si>
  <si>
    <t>Logbadjeck</t>
  </si>
  <si>
    <t>IHS_EDA_020</t>
  </si>
  <si>
    <t>CTR_059</t>
  </si>
  <si>
    <t>Ndokok</t>
  </si>
  <si>
    <t>IHS_DLA_199</t>
  </si>
  <si>
    <t>LIT_342</t>
  </si>
  <si>
    <t>Logbaba-SONEL</t>
  </si>
  <si>
    <t>IHS_YND_701</t>
  </si>
  <si>
    <t>LIT_514</t>
  </si>
  <si>
    <t>NKAN</t>
  </si>
  <si>
    <t>Lithuim solar gen</t>
  </si>
  <si>
    <t>IHS_DLA_257</t>
  </si>
  <si>
    <t>Kotto-Antenne</t>
  </si>
  <si>
    <t>IHS_EDA_032</t>
  </si>
  <si>
    <t>LIT_108</t>
  </si>
  <si>
    <t>Ngwei</t>
  </si>
  <si>
    <t>Solar-Grid-Gen</t>
  </si>
  <si>
    <t>IHS_DLA_290</t>
  </si>
  <si>
    <t>LIT_297</t>
  </si>
  <si>
    <t>Lendi-Entree</t>
  </si>
  <si>
    <t>IHS_DLA_228</t>
  </si>
  <si>
    <t>LIT_357</t>
  </si>
  <si>
    <t>Makepe-AES</t>
  </si>
  <si>
    <t>IHS_EDA_067</t>
  </si>
  <si>
    <t>LIT_463</t>
  </si>
  <si>
    <t>Apouh</t>
  </si>
  <si>
    <t>IHS_BNB_007</t>
  </si>
  <si>
    <t>T597</t>
  </si>
  <si>
    <t>Ngwelle</t>
  </si>
  <si>
    <t>IHS_BNB_022</t>
  </si>
  <si>
    <t>LIT_377</t>
  </si>
  <si>
    <t>Ngwelle-II</t>
  </si>
  <si>
    <t>IHS_EDA_002</t>
  </si>
  <si>
    <t>T1285</t>
  </si>
  <si>
    <t>Logbele Edea</t>
  </si>
  <si>
    <t>IHS_BNB_115</t>
  </si>
  <si>
    <t>BONABERI 105 GABONAIS</t>
  </si>
  <si>
    <t>IHS_BNB_005</t>
  </si>
  <si>
    <t>T867</t>
  </si>
  <si>
    <t>Bonaberi Michelin 867</t>
  </si>
  <si>
    <t>IHS_EDA_016</t>
  </si>
  <si>
    <t>LIT_323</t>
  </si>
  <si>
    <t>Okoth</t>
  </si>
  <si>
    <t>IHS_DLA_402</t>
  </si>
  <si>
    <t>LIT_151_C1</t>
  </si>
  <si>
    <t>Base-Elf-New</t>
  </si>
  <si>
    <t>IHS_DLA_482</t>
  </si>
  <si>
    <t>T1140</t>
  </si>
  <si>
    <t>MALIMBA</t>
  </si>
  <si>
    <t>IHS_DLA_229</t>
  </si>
  <si>
    <t>LIT_400</t>
  </si>
  <si>
    <t>Bonawon</t>
  </si>
  <si>
    <t>IHS_BNB_020</t>
  </si>
  <si>
    <t>T1797</t>
  </si>
  <si>
    <t>Sodiko 2</t>
  </si>
  <si>
    <t>IHS_EDA_043</t>
  </si>
  <si>
    <t>LIT_319</t>
  </si>
  <si>
    <t>Botko</t>
  </si>
  <si>
    <t>IHS_EDA_041</t>
  </si>
  <si>
    <t>T0410</t>
  </si>
  <si>
    <t>Song Loulou</t>
  </si>
  <si>
    <t>IHS_BNB_033</t>
  </si>
  <si>
    <t>LIT_181</t>
  </si>
  <si>
    <t>Bonendale</t>
  </si>
  <si>
    <t>IHS_BNB_028</t>
  </si>
  <si>
    <t>LIT_346</t>
  </si>
  <si>
    <t>Bberi-Abattoir</t>
  </si>
  <si>
    <t>IHS_EDA_039</t>
  </si>
  <si>
    <t>LIT_191</t>
  </si>
  <si>
    <t>Mouanko</t>
  </si>
  <si>
    <t>P5</t>
  </si>
  <si>
    <t>IHS_DLA_252</t>
  </si>
  <si>
    <t>T1387</t>
  </si>
  <si>
    <t>Makepe2</t>
  </si>
  <si>
    <t>IHS_EDA_012</t>
  </si>
  <si>
    <t>LIT_322</t>
  </si>
  <si>
    <t>Edea-Ekite</t>
  </si>
  <si>
    <t>IHS_DLA_512</t>
  </si>
  <si>
    <t>T3225</t>
  </si>
  <si>
    <t>TERMINUS BONAMOUSSADI</t>
  </si>
  <si>
    <t>IHS_EDA_036</t>
  </si>
  <si>
    <t>LIT_069</t>
  </si>
  <si>
    <t>Pouma</t>
  </si>
  <si>
    <t>IHS_DLA_493</t>
  </si>
  <si>
    <t>LIT_093</t>
  </si>
  <si>
    <t>Ndogpassi Nodal</t>
  </si>
  <si>
    <t>IHS_KRI_022</t>
  </si>
  <si>
    <t>T0176</t>
  </si>
  <si>
    <t>Mbongueng</t>
  </si>
  <si>
    <t>IHS_DLA_456</t>
  </si>
  <si>
    <t>LIT_383</t>
  </si>
  <si>
    <t>Edea Mbondanjick</t>
  </si>
  <si>
    <t>IHS_YND_538</t>
  </si>
  <si>
    <t>T0727</t>
  </si>
  <si>
    <t>Dibang</t>
  </si>
  <si>
    <t>IHS_DLA_126</t>
  </si>
  <si>
    <t>LIT_217</t>
  </si>
  <si>
    <t>Ndokoti-New</t>
  </si>
  <si>
    <t>IHS_EDA_066</t>
  </si>
  <si>
    <t>LIT_510</t>
  </si>
  <si>
    <t>Kanga</t>
  </si>
  <si>
    <t>IHS_BNB_034</t>
  </si>
  <si>
    <t>T511</t>
  </si>
  <si>
    <t>Bonandalle</t>
  </si>
  <si>
    <t>IHS_DLA_225</t>
  </si>
  <si>
    <t>T2295</t>
  </si>
  <si>
    <t>New Bonamoussadi</t>
  </si>
  <si>
    <t>IHS_BNB_004</t>
  </si>
  <si>
    <t>LIT_291</t>
  </si>
  <si>
    <t>Grand-Hangar</t>
  </si>
  <si>
    <t>IHS_DLA_187</t>
  </si>
  <si>
    <t>LIT_267</t>
  </si>
  <si>
    <t>Sable</t>
  </si>
  <si>
    <t>IHS_DLA_300</t>
  </si>
  <si>
    <t>T0720</t>
  </si>
  <si>
    <t>Mbongo</t>
  </si>
  <si>
    <t>IHS_DLA_125</t>
  </si>
  <si>
    <t>T398</t>
  </si>
  <si>
    <t>Ndokoti</t>
  </si>
  <si>
    <t>IHS_DLA_452</t>
  </si>
  <si>
    <t>LIT_450</t>
  </si>
  <si>
    <t xml:space="preserve">Quartier Gentil </t>
  </si>
  <si>
    <t>IHS_DLA_253</t>
  </si>
  <si>
    <t>T0424</t>
  </si>
  <si>
    <t>Bonamoussadi2</t>
  </si>
  <si>
    <t>IHS_BNB_011</t>
  </si>
  <si>
    <t>T1701</t>
  </si>
  <si>
    <t>Foret Bar Mabanda</t>
  </si>
  <si>
    <t>IHS_BNB_030</t>
  </si>
  <si>
    <t>T275</t>
  </si>
  <si>
    <t>IHS_DLA_138</t>
  </si>
  <si>
    <t>LIT_098</t>
  </si>
  <si>
    <t>Cite-Sic</t>
  </si>
  <si>
    <t>IHS_EDA_033</t>
  </si>
  <si>
    <t>T0092</t>
  </si>
  <si>
    <t>Ngwei II</t>
  </si>
  <si>
    <t>IHS_DLA_409</t>
  </si>
  <si>
    <t>T1932</t>
  </si>
  <si>
    <t>Mabanda 2</t>
  </si>
  <si>
    <t>IHS_EDA_045</t>
  </si>
  <si>
    <t>T0491</t>
  </si>
  <si>
    <t>Sack Bayeme</t>
  </si>
  <si>
    <t>IHS_DLA_127</t>
  </si>
  <si>
    <t>LIT_263</t>
  </si>
  <si>
    <t>CCC</t>
  </si>
  <si>
    <t>IHS_KRI_013</t>
  </si>
  <si>
    <t>T0173</t>
  </si>
  <si>
    <t>fifinda2</t>
  </si>
  <si>
    <t>IHS_EDA_014</t>
  </si>
  <si>
    <t>LIT_229</t>
  </si>
  <si>
    <t>Edea-Entree</t>
  </si>
  <si>
    <t>IHS_EDA_035</t>
  </si>
  <si>
    <t>T0235</t>
  </si>
  <si>
    <t>Pouma Hospital</t>
  </si>
  <si>
    <t>IHS_EDA_021</t>
  </si>
  <si>
    <t>T0136</t>
  </si>
  <si>
    <t>Dizangue</t>
  </si>
  <si>
    <t>IHS_DLA_156</t>
  </si>
  <si>
    <t>LIT_401</t>
  </si>
  <si>
    <t>Makepe-Maturite</t>
  </si>
  <si>
    <t>IHS_DLA_155</t>
  </si>
  <si>
    <t>T1723</t>
  </si>
  <si>
    <t>Makepe Maturite</t>
  </si>
  <si>
    <t>IHS_EDA_044</t>
  </si>
  <si>
    <t>LIT_138</t>
  </si>
  <si>
    <t>Sackbayeme</t>
  </si>
  <si>
    <t>IHS_EDA_040</t>
  </si>
  <si>
    <t>LIT_135</t>
  </si>
  <si>
    <t>Ngonga</t>
  </si>
  <si>
    <t>IHS_BNB_008</t>
  </si>
  <si>
    <t>LIT_206</t>
  </si>
  <si>
    <t>Ngwele</t>
  </si>
  <si>
    <t>IHS_EDA_037</t>
  </si>
  <si>
    <t>LIT_308</t>
  </si>
  <si>
    <t>Ndokoma</t>
  </si>
  <si>
    <t>Grid-Gen-Lithium</t>
  </si>
  <si>
    <t>IHS_EDA_001</t>
  </si>
  <si>
    <t>T0428</t>
  </si>
  <si>
    <t>Edea Town</t>
  </si>
  <si>
    <t>IHS_EDA_114</t>
  </si>
  <si>
    <t>LIT_201</t>
  </si>
  <si>
    <t>Pouma makop</t>
  </si>
  <si>
    <t>IHS_KRI_016</t>
  </si>
  <si>
    <t>SUD_004</t>
  </si>
  <si>
    <t>Pama</t>
  </si>
  <si>
    <t>IHS_YND_593</t>
  </si>
  <si>
    <t>T1598</t>
  </si>
  <si>
    <t xml:space="preserve">Ngonga Water Tower </t>
  </si>
  <si>
    <t>IHS_EDA_009</t>
  </si>
  <si>
    <t>T0262</t>
  </si>
  <si>
    <t>Ntoumba SDH</t>
  </si>
  <si>
    <t>IHS_DLA_190</t>
  </si>
  <si>
    <t>LIT_373</t>
  </si>
  <si>
    <t>Missoke-Universite</t>
  </si>
  <si>
    <t>IHS_DLA_404</t>
  </si>
  <si>
    <t>T1390</t>
  </si>
  <si>
    <t>Bonaberi Magzi</t>
  </si>
  <si>
    <t>IHS_DLA_139</t>
  </si>
  <si>
    <t>T508</t>
  </si>
  <si>
    <t>Cite SIC</t>
  </si>
  <si>
    <t>CMS RH</t>
  </si>
  <si>
    <t>To be Added</t>
  </si>
  <si>
    <t>IHS_EDA_061</t>
  </si>
  <si>
    <t>IHS_BNB_009</t>
  </si>
  <si>
    <t>LIT_290</t>
  </si>
  <si>
    <t>Bonabappe</t>
  </si>
  <si>
    <t>NA</t>
  </si>
  <si>
    <t>Grid Gen</t>
  </si>
  <si>
    <t>CCPH</t>
  </si>
  <si>
    <t>Data Entry CPH</t>
  </si>
  <si>
    <t>DG Card Faulty</t>
  </si>
  <si>
    <t xml:space="preserve">Comment </t>
  </si>
  <si>
    <t>50% of Aug Budget</t>
  </si>
  <si>
    <t>400L on sites</t>
  </si>
  <si>
    <t>Site was on Gen For pas 2 days after Estimated was submitted</t>
  </si>
  <si>
    <t>ok Availability ok</t>
  </si>
  <si>
    <t>Access issues</t>
  </si>
  <si>
    <t>Access issue</t>
  </si>
  <si>
    <t>Access Issue</t>
  </si>
  <si>
    <t>Done 26-07-2026</t>
  </si>
  <si>
    <t>Comment</t>
  </si>
  <si>
    <t>Intervention</t>
  </si>
  <si>
    <t>intervenyon</t>
  </si>
  <si>
    <t>Cluster</t>
  </si>
  <si>
    <t>Refueling done</t>
  </si>
  <si>
    <t>Ndogmbong</t>
  </si>
  <si>
    <t>pouma 1</t>
  </si>
  <si>
    <t>Edea,Pouma1 and,pouma2 planned 28-07-2027</t>
  </si>
  <si>
    <t>10L left due to tank capacity</t>
  </si>
  <si>
    <t>Due to Loading capacity</t>
  </si>
  <si>
    <t>Intervention due to low</t>
  </si>
  <si>
    <t>intervention</t>
  </si>
  <si>
    <t>done Edea,Pouma1 and,pouma2  27-07-2027</t>
  </si>
  <si>
    <t>Dla Replanned 28-07-2027</t>
  </si>
  <si>
    <t>Dla done 27-07-2027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</si>
</sst>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/>
    </xf>
    <xf numFmtId="14" fontId="5" fillId="0" borderId="3" xfId="2" applyNumberFormat="1" applyFont="1" applyBorder="1" applyAlignment="1">
      <alignment horizontal="center"/>
    </xf>
    <xf numFmtId="0" fontId="1" fillId="0" borderId="0" xfId="0" applyFont="1"/>
    <xf numFmtId="2" fontId="5" fillId="0" borderId="3" xfId="2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2" fontId="0" fillId="0" borderId="3" xfId="0" applyNumberFormat="1" applyBorder="1"/>
    <xf numFmtId="0" fontId="0" fillId="0" borderId="3" xfId="0" applyBorder="1"/>
    <xf numFmtId="0" fontId="2" fillId="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3" xfId="0" applyFill="1" applyBorder="1"/>
    <xf numFmtId="0" fontId="1" fillId="3" borderId="0" xfId="0" applyFont="1" applyFill="1"/>
    <xf numFmtId="0" fontId="1" fillId="6" borderId="3" xfId="0" applyFont="1" applyFill="1" applyBorder="1"/>
    <xf numFmtId="14" fontId="1" fillId="6" borderId="3" xfId="0" applyNumberFormat="1" applyFont="1" applyFill="1" applyBorder="1"/>
  </cellXfs>
  <cellStyles count="3">
    <cellStyle name="Normal" xfId="0" builtinId="0"/>
    <cellStyle name="Normal 27" xfId="2" xr:uid="{50F7E874-0FF9-4565-B716-D33D769B8954}"/>
    <cellStyle name="Normal 3" xfId="1" xr:uid="{BBA41057-48D0-4E0D-9022-DAD35643A0B9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6"/>
  <sheetViews>
    <sheetView zoomScale="60" zoomScaleNormal="60" workbookViewId="0">
      <pane xSplit="13" ySplit="2" topLeftCell="S3" activePane="bottomRight" state="frozen"/>
      <selection pane="topRight" activeCell="N1" sqref="N1"/>
      <selection pane="bottomLeft" activeCell="A3" sqref="A3"/>
      <selection pane="bottomRight" activeCell="W1" sqref="W1:X1"/>
    </sheetView>
  </sheetViews>
  <sheetFormatPr defaultRowHeight="14.5" x14ac:dyDescent="0.35"/>
  <cols>
    <col min="3" max="3" width="11.26953125" customWidth="1"/>
    <col min="4" max="4" width="11.54296875" customWidth="1"/>
    <col min="6" max="6" width="17" customWidth="1"/>
    <col min="7" max="7" width="10.6328125" customWidth="1"/>
    <col min="13" max="13" width="12.1796875" customWidth="1"/>
    <col min="17" max="17" width="11.1796875" customWidth="1"/>
    <col min="19" max="19" width="13.08984375" customWidth="1"/>
    <col min="21" max="21" width="34.1796875" customWidth="1"/>
    <col min="22" max="22" width="26.6328125" customWidth="1"/>
    <col min="23" max="23" width="13.54296875" customWidth="1"/>
    <col min="24" max="24" width="23.453125" customWidth="1"/>
    <col min="25" max="25" width="13.08984375" customWidth="1"/>
    <col min="26" max="26" width="23.453125" customWidth="1"/>
  </cols>
  <sheetData>
    <row r="1" spans="1:26" x14ac:dyDescent="0.35">
      <c r="H1" s="1"/>
      <c r="J1" s="6">
        <f>+SUBTOTAL(109,J3:J165)</f>
        <v>50230</v>
      </c>
      <c r="K1" s="6"/>
      <c r="L1" s="6">
        <f>+SUBTOTAL(109,L3:L165)</f>
        <v>86982.236867940141</v>
      </c>
      <c r="Q1" s="6">
        <f>+SUBTOTAL(109,Q3:Q165)</f>
        <v>43387.399999999994</v>
      </c>
      <c r="V1" s="14">
        <f>+SUBTOTAL(109,V3:V200)</f>
        <v>11160</v>
      </c>
      <c r="W1" s="14">
        <f>+SUBTOTAL(109,W3:W200)</f>
        <v>5405</v>
      </c>
      <c r="X1" s="14">
        <f>+SUBTOTAL(109,X3:X165)</f>
        <v>3650</v>
      </c>
    </row>
    <row r="2" spans="1:26" ht="43.5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3" t="s">
        <v>6</v>
      </c>
      <c r="I2" s="2" t="s">
        <v>7</v>
      </c>
      <c r="J2" s="8" t="s">
        <v>521</v>
      </c>
      <c r="K2" s="8" t="s">
        <v>532</v>
      </c>
      <c r="L2" s="11" t="s">
        <v>8</v>
      </c>
      <c r="M2" s="11" t="s">
        <v>9</v>
      </c>
      <c r="N2" s="11" t="s">
        <v>520</v>
      </c>
      <c r="O2" s="11" t="s">
        <v>10</v>
      </c>
      <c r="P2" s="11" t="s">
        <v>11</v>
      </c>
      <c r="Q2" s="11" t="s">
        <v>12</v>
      </c>
      <c r="R2" s="11" t="s">
        <v>13</v>
      </c>
      <c r="S2" s="12" t="s">
        <v>529</v>
      </c>
      <c r="T2" s="12" t="s">
        <v>528</v>
      </c>
      <c r="U2" s="11" t="s">
        <v>531</v>
      </c>
      <c r="V2" s="11" t="s">
        <v>539</v>
      </c>
      <c r="W2" s="11" t="s">
        <v>554</v>
      </c>
      <c r="X2" s="11" t="s">
        <v>552</v>
      </c>
      <c r="Y2" s="11" t="s">
        <v>553</v>
      </c>
      <c r="Z2" s="11" t="s">
        <v>547</v>
      </c>
    </row>
    <row r="3" spans="1:26" x14ac:dyDescent="0.35">
      <c r="A3" s="4" t="s">
        <v>14</v>
      </c>
      <c r="B3" s="4" t="s">
        <v>15</v>
      </c>
      <c r="C3" s="4" t="s">
        <v>16</v>
      </c>
      <c r="D3" s="4" t="s">
        <v>14</v>
      </c>
      <c r="E3" s="4" t="s">
        <v>17</v>
      </c>
      <c r="F3" s="4" t="s">
        <v>18</v>
      </c>
      <c r="G3" s="4" t="s">
        <v>19</v>
      </c>
      <c r="H3" s="4" t="s">
        <v>20</v>
      </c>
      <c r="I3" s="5">
        <v>46229</v>
      </c>
      <c r="J3" s="4">
        <v>500</v>
      </c>
      <c r="K3" s="7">
        <v>173.44535556035896</v>
      </c>
      <c r="L3" s="7">
        <v>277.51256889657435</v>
      </c>
      <c r="M3" s="4">
        <v>1500</v>
      </c>
      <c r="N3" s="4">
        <v>198.18</v>
      </c>
      <c r="O3" s="4">
        <v>28</v>
      </c>
      <c r="P3" s="7">
        <v>7.0778571428571428</v>
      </c>
      <c r="Q3" s="4">
        <v>264</v>
      </c>
      <c r="R3" s="5">
        <v>46219.458333333299</v>
      </c>
      <c r="S3" s="9">
        <v>3.4545454545454546</v>
      </c>
      <c r="T3" s="10">
        <v>2.5</v>
      </c>
      <c r="U3" s="10"/>
      <c r="V3" s="10">
        <v>150</v>
      </c>
      <c r="W3" s="13"/>
      <c r="X3" s="13">
        <v>100</v>
      </c>
      <c r="Y3" s="10"/>
      <c r="Z3" s="9">
        <v>250</v>
      </c>
    </row>
    <row r="4" spans="1:26" x14ac:dyDescent="0.35">
      <c r="A4" s="4" t="s">
        <v>21</v>
      </c>
      <c r="B4" s="4" t="s">
        <v>15</v>
      </c>
      <c r="C4" s="4" t="s">
        <v>22</v>
      </c>
      <c r="D4" s="4" t="s">
        <v>21</v>
      </c>
      <c r="E4" s="4" t="s">
        <v>23</v>
      </c>
      <c r="F4" s="4" t="s">
        <v>24</v>
      </c>
      <c r="G4" s="4" t="s">
        <v>25</v>
      </c>
      <c r="H4" s="4" t="s">
        <v>20</v>
      </c>
      <c r="I4" s="5">
        <v>46229</v>
      </c>
      <c r="J4" s="4">
        <v>50</v>
      </c>
      <c r="K4" s="7">
        <v>21.461672783958317</v>
      </c>
      <c r="L4" s="7">
        <v>34.33867645433331</v>
      </c>
      <c r="M4" s="4">
        <v>500</v>
      </c>
      <c r="N4" s="4">
        <v>18.77</v>
      </c>
      <c r="O4" s="4">
        <v>28</v>
      </c>
      <c r="P4" s="7">
        <v>0.67035714285714287</v>
      </c>
      <c r="Q4" s="4">
        <v>142</v>
      </c>
      <c r="R4" s="5">
        <v>46225.458333333299</v>
      </c>
      <c r="S4" s="9">
        <v>2.5166666666666666</v>
      </c>
      <c r="T4" s="10">
        <v>2.25</v>
      </c>
      <c r="U4" s="10"/>
      <c r="V4" s="10"/>
      <c r="W4" s="13"/>
      <c r="X4" s="13"/>
      <c r="Y4" s="10">
        <v>50</v>
      </c>
      <c r="Z4" s="10"/>
    </row>
    <row r="5" spans="1:26" x14ac:dyDescent="0.35">
      <c r="A5" s="4" t="s">
        <v>26</v>
      </c>
      <c r="B5" s="4" t="s">
        <v>15</v>
      </c>
      <c r="C5" s="4" t="s">
        <v>27</v>
      </c>
      <c r="D5" s="4" t="s">
        <v>26</v>
      </c>
      <c r="E5" s="4" t="s">
        <v>28</v>
      </c>
      <c r="F5" s="4" t="s">
        <v>29</v>
      </c>
      <c r="G5" s="4" t="s">
        <v>30</v>
      </c>
      <c r="H5" s="4" t="s">
        <v>20</v>
      </c>
      <c r="I5" s="5">
        <v>46229</v>
      </c>
      <c r="J5" s="4">
        <v>650</v>
      </c>
      <c r="K5" s="7">
        <v>648.13778170585249</v>
      </c>
      <c r="L5" s="7">
        <v>1037.020450729364</v>
      </c>
      <c r="M5" s="4">
        <v>1000</v>
      </c>
      <c r="N5" s="4">
        <v>0</v>
      </c>
      <c r="O5" s="4">
        <v>28</v>
      </c>
      <c r="P5" s="7">
        <v>0</v>
      </c>
      <c r="Q5" s="4">
        <v>224</v>
      </c>
      <c r="R5" s="5">
        <v>46225.375</v>
      </c>
      <c r="S5" s="9">
        <v>2.0877192982456139</v>
      </c>
      <c r="T5" s="10">
        <v>2.09</v>
      </c>
      <c r="U5" s="10"/>
      <c r="V5" s="10">
        <v>100</v>
      </c>
      <c r="W5" s="13"/>
      <c r="X5" s="13"/>
      <c r="Y5" s="10"/>
      <c r="Z5" s="9">
        <v>550</v>
      </c>
    </row>
    <row r="6" spans="1:26" x14ac:dyDescent="0.35">
      <c r="A6" s="4" t="s">
        <v>31</v>
      </c>
      <c r="B6" s="4" t="s">
        <v>15</v>
      </c>
      <c r="C6" s="4" t="s">
        <v>32</v>
      </c>
      <c r="D6" s="4" t="s">
        <v>31</v>
      </c>
      <c r="E6" s="4" t="s">
        <v>33</v>
      </c>
      <c r="F6" s="4" t="s">
        <v>34</v>
      </c>
      <c r="G6" s="4" t="s">
        <v>25</v>
      </c>
      <c r="H6" s="4" t="s">
        <v>20</v>
      </c>
      <c r="I6" s="5">
        <v>46229</v>
      </c>
      <c r="J6" s="4">
        <v>25</v>
      </c>
      <c r="K6" s="7">
        <v>37.189265744365599</v>
      </c>
      <c r="L6" s="7">
        <v>59.502825190984964</v>
      </c>
      <c r="M6" s="4">
        <v>80</v>
      </c>
      <c r="N6" s="4">
        <v>10.220000000000001</v>
      </c>
      <c r="O6" s="4">
        <v>28</v>
      </c>
      <c r="P6" s="7">
        <v>0.36500000000000005</v>
      </c>
      <c r="Q6" s="4">
        <v>51</v>
      </c>
      <c r="R6" s="5">
        <v>46221.579861111102</v>
      </c>
      <c r="S6" s="9">
        <v>1.8</v>
      </c>
      <c r="T6" s="10">
        <v>1.96</v>
      </c>
      <c r="U6" s="10"/>
      <c r="V6" s="10"/>
      <c r="W6" s="13"/>
      <c r="X6" s="13"/>
      <c r="Y6" s="10">
        <v>25</v>
      </c>
      <c r="Z6" s="10"/>
    </row>
    <row r="7" spans="1:26" x14ac:dyDescent="0.35">
      <c r="A7" s="4" t="s">
        <v>35</v>
      </c>
      <c r="B7" s="4" t="s">
        <v>15</v>
      </c>
      <c r="C7" s="4" t="s">
        <v>16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20</v>
      </c>
      <c r="I7" s="5">
        <v>46229</v>
      </c>
      <c r="J7" s="4">
        <v>770</v>
      </c>
      <c r="K7" s="7">
        <v>770.71512926729702</v>
      </c>
      <c r="L7" s="7">
        <v>1233.1442068276754</v>
      </c>
      <c r="M7" s="4">
        <v>1000</v>
      </c>
      <c r="N7" s="4">
        <v>464.67</v>
      </c>
      <c r="O7" s="4">
        <v>28</v>
      </c>
      <c r="P7" s="7">
        <v>16.595357142857143</v>
      </c>
      <c r="Q7" s="4">
        <v>442</v>
      </c>
      <c r="R7" s="5">
        <v>46219.583333333299</v>
      </c>
      <c r="S7" s="9" t="s">
        <v>530</v>
      </c>
      <c r="T7" s="10">
        <v>3.31</v>
      </c>
      <c r="U7" s="10"/>
      <c r="V7" s="10">
        <v>150</v>
      </c>
      <c r="W7" s="13"/>
      <c r="X7" s="13">
        <v>200</v>
      </c>
      <c r="Y7" s="10"/>
      <c r="Z7" s="9">
        <v>420</v>
      </c>
    </row>
    <row r="8" spans="1:26" x14ac:dyDescent="0.35">
      <c r="A8" s="4" t="s">
        <v>39</v>
      </c>
      <c r="B8" s="4" t="s">
        <v>15</v>
      </c>
      <c r="C8" s="4" t="s">
        <v>40</v>
      </c>
      <c r="D8" s="4" t="s">
        <v>39</v>
      </c>
      <c r="E8" s="4" t="s">
        <v>41</v>
      </c>
      <c r="F8" s="4" t="s">
        <v>42</v>
      </c>
      <c r="G8" s="4" t="s">
        <v>25</v>
      </c>
      <c r="H8" s="4" t="s">
        <v>43</v>
      </c>
      <c r="I8" s="5">
        <v>46229</v>
      </c>
      <c r="J8" s="4">
        <v>450</v>
      </c>
      <c r="K8" s="7">
        <v>1461.7974566609689</v>
      </c>
      <c r="L8" s="7">
        <v>2338.8759306575503</v>
      </c>
      <c r="M8" s="4">
        <v>500</v>
      </c>
      <c r="N8" s="4">
        <v>492.06</v>
      </c>
      <c r="O8" s="4">
        <v>28</v>
      </c>
      <c r="P8" s="7">
        <v>17.57357142857143</v>
      </c>
      <c r="Q8" s="4">
        <v>280</v>
      </c>
      <c r="R8" s="5">
        <v>46225.666666666701</v>
      </c>
      <c r="S8" s="9">
        <v>5</v>
      </c>
      <c r="T8" s="10">
        <v>4.7300000000000004</v>
      </c>
      <c r="U8" s="10"/>
      <c r="V8" s="10">
        <v>380</v>
      </c>
      <c r="W8" s="13"/>
      <c r="X8" s="13"/>
      <c r="Y8" s="10"/>
      <c r="Z8" s="10"/>
    </row>
    <row r="9" spans="1:26" x14ac:dyDescent="0.35">
      <c r="A9" s="4" t="s">
        <v>44</v>
      </c>
      <c r="B9" s="4" t="s">
        <v>15</v>
      </c>
      <c r="C9" s="4" t="s">
        <v>40</v>
      </c>
      <c r="D9" s="4" t="s">
        <v>44</v>
      </c>
      <c r="E9" s="4" t="s">
        <v>45</v>
      </c>
      <c r="F9" s="4" t="s">
        <v>46</v>
      </c>
      <c r="G9" s="4" t="s">
        <v>25</v>
      </c>
      <c r="H9" s="4" t="s">
        <v>20</v>
      </c>
      <c r="I9" s="5">
        <v>46229</v>
      </c>
      <c r="J9" s="4">
        <v>600</v>
      </c>
      <c r="K9" s="7">
        <v>605.11955404709454</v>
      </c>
      <c r="L9" s="7">
        <v>968.19128647535126</v>
      </c>
      <c r="M9" s="4">
        <v>1000</v>
      </c>
      <c r="N9" s="4">
        <v>668.13</v>
      </c>
      <c r="O9" s="4">
        <v>28</v>
      </c>
      <c r="P9" s="7">
        <v>23.861785714285713</v>
      </c>
      <c r="Q9" s="4">
        <v>270</v>
      </c>
      <c r="R9" s="5">
        <v>46220.583333333299</v>
      </c>
      <c r="S9" s="9">
        <v>3.5714285714285716</v>
      </c>
      <c r="T9" s="10">
        <v>1.96</v>
      </c>
      <c r="U9" s="10"/>
      <c r="V9" s="10"/>
      <c r="W9" s="13">
        <f t="shared" ref="W4:W67" si="0">+J9-V9</f>
        <v>600</v>
      </c>
      <c r="X9" s="13"/>
      <c r="Y9" s="10"/>
      <c r="Z9" s="10"/>
    </row>
    <row r="10" spans="1:26" x14ac:dyDescent="0.35">
      <c r="A10" s="4" t="s">
        <v>47</v>
      </c>
      <c r="B10" s="4" t="s">
        <v>15</v>
      </c>
      <c r="C10" s="4" t="s">
        <v>32</v>
      </c>
      <c r="D10" s="4" t="s">
        <v>47</v>
      </c>
      <c r="E10" s="4"/>
      <c r="F10" s="4" t="s">
        <v>48</v>
      </c>
      <c r="G10" s="4" t="s">
        <v>527</v>
      </c>
      <c r="H10" s="4"/>
      <c r="I10" s="5">
        <v>46229</v>
      </c>
      <c r="J10" s="4">
        <v>100</v>
      </c>
      <c r="K10" s="7">
        <v>107.38114303849233</v>
      </c>
      <c r="L10" s="7">
        <v>171.80982886158773</v>
      </c>
      <c r="M10" s="4">
        <v>500</v>
      </c>
      <c r="N10" s="4">
        <v>12.87</v>
      </c>
      <c r="O10" s="4">
        <v>28</v>
      </c>
      <c r="P10" s="7">
        <v>0.45964285714285713</v>
      </c>
      <c r="Q10" s="4">
        <v>255</v>
      </c>
      <c r="R10" s="5">
        <v>46223.552083333299</v>
      </c>
      <c r="S10" s="9">
        <v>3.7</v>
      </c>
      <c r="T10" s="10">
        <v>3.46</v>
      </c>
      <c r="U10" s="10"/>
      <c r="V10" s="10"/>
      <c r="W10" s="13">
        <f t="shared" si="0"/>
        <v>100</v>
      </c>
      <c r="X10" s="13"/>
      <c r="Y10" s="10"/>
      <c r="Z10" s="10"/>
    </row>
    <row r="11" spans="1:26" x14ac:dyDescent="0.35">
      <c r="A11" s="4" t="s">
        <v>50</v>
      </c>
      <c r="B11" s="4" t="s">
        <v>15</v>
      </c>
      <c r="C11" s="4" t="s">
        <v>32</v>
      </c>
      <c r="D11" s="4" t="s">
        <v>50</v>
      </c>
      <c r="E11" s="4" t="s">
        <v>51</v>
      </c>
      <c r="F11" s="4" t="s">
        <v>52</v>
      </c>
      <c r="G11" s="4" t="s">
        <v>25</v>
      </c>
      <c r="H11" s="4" t="s">
        <v>53</v>
      </c>
      <c r="I11" s="5">
        <v>46229</v>
      </c>
      <c r="J11" s="4">
        <v>200</v>
      </c>
      <c r="K11" s="7">
        <v>202.35495273921296</v>
      </c>
      <c r="L11" s="7">
        <v>323.76792438274077</v>
      </c>
      <c r="M11" s="4">
        <v>1000</v>
      </c>
      <c r="N11" s="4">
        <v>104.89</v>
      </c>
      <c r="O11" s="4">
        <v>28</v>
      </c>
      <c r="P11" s="7">
        <v>3.7460714285714287</v>
      </c>
      <c r="Q11" s="4">
        <v>200</v>
      </c>
      <c r="R11" s="5">
        <v>46222.625</v>
      </c>
      <c r="S11" s="9">
        <v>4.5</v>
      </c>
      <c r="T11" s="10">
        <v>4.03</v>
      </c>
      <c r="U11" s="10"/>
      <c r="V11" s="10"/>
      <c r="W11" s="13"/>
      <c r="X11" s="13"/>
      <c r="Y11" s="10">
        <v>200</v>
      </c>
      <c r="Z11" s="10"/>
    </row>
    <row r="12" spans="1:26" x14ac:dyDescent="0.35">
      <c r="A12" s="4" t="s">
        <v>54</v>
      </c>
      <c r="B12" s="4" t="s">
        <v>15</v>
      </c>
      <c r="C12" s="4" t="s">
        <v>40</v>
      </c>
      <c r="D12" s="4" t="s">
        <v>54</v>
      </c>
      <c r="E12" s="4" t="s">
        <v>55</v>
      </c>
      <c r="F12" s="4" t="s">
        <v>56</v>
      </c>
      <c r="G12" s="4" t="s">
        <v>25</v>
      </c>
      <c r="H12" s="4" t="s">
        <v>43</v>
      </c>
      <c r="I12" s="5">
        <v>46229</v>
      </c>
      <c r="J12" s="4">
        <v>200</v>
      </c>
      <c r="K12" s="7">
        <v>107.30836391979157</v>
      </c>
      <c r="L12" s="7">
        <v>171.69338227166654</v>
      </c>
      <c r="M12" s="4">
        <v>600</v>
      </c>
      <c r="N12" s="4">
        <v>115.1</v>
      </c>
      <c r="O12" s="4">
        <v>28</v>
      </c>
      <c r="P12" s="7">
        <v>4.1107142857142858</v>
      </c>
      <c r="Q12" s="4">
        <v>163</v>
      </c>
      <c r="R12" s="5">
        <v>46220.625</v>
      </c>
      <c r="S12" s="9">
        <v>3.5</v>
      </c>
      <c r="T12" s="10">
        <v>3.74</v>
      </c>
      <c r="U12" s="10"/>
      <c r="V12" s="10"/>
      <c r="W12" s="13"/>
      <c r="X12" s="13"/>
      <c r="Y12" s="10">
        <v>200</v>
      </c>
      <c r="Z12" s="10"/>
    </row>
    <row r="13" spans="1:26" x14ac:dyDescent="0.35">
      <c r="A13" s="4" t="s">
        <v>57</v>
      </c>
      <c r="B13" s="4" t="s">
        <v>15</v>
      </c>
      <c r="C13" s="4" t="s">
        <v>58</v>
      </c>
      <c r="D13" s="4" t="s">
        <v>57</v>
      </c>
      <c r="E13" s="4" t="s">
        <v>59</v>
      </c>
      <c r="F13" s="4" t="s">
        <v>60</v>
      </c>
      <c r="G13" s="4" t="s">
        <v>25</v>
      </c>
      <c r="H13" s="4" t="s">
        <v>20</v>
      </c>
      <c r="I13" s="5">
        <v>46229</v>
      </c>
      <c r="J13" s="4">
        <v>150</v>
      </c>
      <c r="K13" s="7">
        <v>154.43361644324929</v>
      </c>
      <c r="L13" s="7">
        <v>247.09378630919889</v>
      </c>
      <c r="M13" s="4">
        <v>500</v>
      </c>
      <c r="N13" s="4">
        <v>76.260000000000005</v>
      </c>
      <c r="O13" s="4">
        <v>28</v>
      </c>
      <c r="P13" s="7">
        <v>2.7235714285714288</v>
      </c>
      <c r="Q13" s="4">
        <v>300</v>
      </c>
      <c r="R13" s="5">
        <v>46205.666666666701</v>
      </c>
      <c r="S13" s="9">
        <v>2.5</v>
      </c>
      <c r="T13" s="10">
        <v>2.61</v>
      </c>
      <c r="U13" s="10"/>
      <c r="V13" s="10"/>
      <c r="W13" s="13"/>
      <c r="X13" s="13"/>
      <c r="Y13" s="10">
        <f>+J13-V13</f>
        <v>150</v>
      </c>
      <c r="Z13" s="10"/>
    </row>
    <row r="14" spans="1:26" x14ac:dyDescent="0.35">
      <c r="A14" s="4" t="s">
        <v>61</v>
      </c>
      <c r="B14" s="4" t="s">
        <v>15</v>
      </c>
      <c r="C14" s="4" t="s">
        <v>40</v>
      </c>
      <c r="D14" s="4" t="s">
        <v>61</v>
      </c>
      <c r="E14" s="4" t="s">
        <v>62</v>
      </c>
      <c r="F14" s="4" t="s">
        <v>63</v>
      </c>
      <c r="G14" s="4" t="s">
        <v>25</v>
      </c>
      <c r="H14" s="4" t="s">
        <v>53</v>
      </c>
      <c r="I14" s="5">
        <v>46229</v>
      </c>
      <c r="J14" s="4">
        <v>400</v>
      </c>
      <c r="K14" s="7">
        <v>1155.8398494528592</v>
      </c>
      <c r="L14" s="7">
        <v>1849.3437591245747</v>
      </c>
      <c r="M14" s="4">
        <v>500</v>
      </c>
      <c r="N14" s="4">
        <v>0</v>
      </c>
      <c r="O14" s="4">
        <v>28</v>
      </c>
      <c r="P14" s="7">
        <v>0</v>
      </c>
      <c r="Q14" s="4">
        <v>372</v>
      </c>
      <c r="R14" s="5">
        <v>46224.708333333299</v>
      </c>
      <c r="S14" s="9">
        <v>4.5999999999999996</v>
      </c>
      <c r="T14" s="10">
        <v>3.74</v>
      </c>
      <c r="U14" s="10"/>
      <c r="V14" s="10">
        <v>430</v>
      </c>
      <c r="W14" s="13"/>
      <c r="X14" s="13"/>
      <c r="Y14" s="10"/>
      <c r="Z14" s="10"/>
    </row>
    <row r="15" spans="1:26" x14ac:dyDescent="0.35">
      <c r="A15" s="4" t="s">
        <v>64</v>
      </c>
      <c r="B15" s="4" t="s">
        <v>15</v>
      </c>
      <c r="C15" s="4" t="s">
        <v>16</v>
      </c>
      <c r="D15" s="4" t="s">
        <v>64</v>
      </c>
      <c r="E15" s="4" t="s">
        <v>65</v>
      </c>
      <c r="F15" s="4" t="s">
        <v>66</v>
      </c>
      <c r="G15" s="4" t="s">
        <v>19</v>
      </c>
      <c r="H15" s="4" t="s">
        <v>67</v>
      </c>
      <c r="I15" s="5">
        <v>46229</v>
      </c>
      <c r="J15" s="4">
        <v>460</v>
      </c>
      <c r="K15" s="7">
        <v>464.5304207787371</v>
      </c>
      <c r="L15" s="7">
        <v>743.24867324597938</v>
      </c>
      <c r="M15" s="4">
        <v>2000</v>
      </c>
      <c r="N15" s="4">
        <v>420.29</v>
      </c>
      <c r="O15" s="4">
        <v>28</v>
      </c>
      <c r="P15" s="7">
        <v>15.010357142857144</v>
      </c>
      <c r="Q15" s="4">
        <v>640</v>
      </c>
      <c r="R15" s="5">
        <v>46220.541666666701</v>
      </c>
      <c r="S15" s="9">
        <v>4.7</v>
      </c>
      <c r="T15" s="10">
        <v>2.77</v>
      </c>
      <c r="U15" s="10"/>
      <c r="V15" s="10">
        <v>250</v>
      </c>
      <c r="W15" s="13"/>
      <c r="X15" s="13">
        <v>250</v>
      </c>
      <c r="Y15" s="10"/>
      <c r="Z15" s="9">
        <v>-40</v>
      </c>
    </row>
    <row r="16" spans="1:26" x14ac:dyDescent="0.35">
      <c r="A16" s="4" t="s">
        <v>68</v>
      </c>
      <c r="B16" s="4" t="s">
        <v>15</v>
      </c>
      <c r="C16" s="4" t="s">
        <v>32</v>
      </c>
      <c r="D16" s="4" t="s">
        <v>68</v>
      </c>
      <c r="E16" s="4" t="s">
        <v>69</v>
      </c>
      <c r="F16" s="4" t="s">
        <v>70</v>
      </c>
      <c r="G16" s="4" t="s">
        <v>25</v>
      </c>
      <c r="H16" s="4" t="s">
        <v>20</v>
      </c>
      <c r="I16" s="5">
        <v>46229</v>
      </c>
      <c r="J16" s="4">
        <v>120</v>
      </c>
      <c r="K16" s="7">
        <v>120.74084105533078</v>
      </c>
      <c r="L16" s="7">
        <v>193.18534568852925</v>
      </c>
      <c r="M16" s="4">
        <v>1000</v>
      </c>
      <c r="N16" s="4">
        <v>29.33</v>
      </c>
      <c r="O16" s="4">
        <v>28</v>
      </c>
      <c r="P16" s="7">
        <v>1.0474999999999999</v>
      </c>
      <c r="Q16" s="4">
        <v>315</v>
      </c>
      <c r="R16" s="5">
        <v>46224.583333333299</v>
      </c>
      <c r="S16" s="9">
        <v>4</v>
      </c>
      <c r="T16" s="10">
        <v>2.82</v>
      </c>
      <c r="U16" s="10"/>
      <c r="V16" s="10"/>
      <c r="W16" s="13">
        <f t="shared" si="0"/>
        <v>120</v>
      </c>
      <c r="X16" s="13"/>
      <c r="Y16" s="10"/>
      <c r="Z16" s="10"/>
    </row>
    <row r="17" spans="1:26" x14ac:dyDescent="0.35">
      <c r="A17" s="4" t="s">
        <v>71</v>
      </c>
      <c r="B17" s="4" t="s">
        <v>15</v>
      </c>
      <c r="C17" s="4" t="s">
        <v>32</v>
      </c>
      <c r="D17" s="4" t="s">
        <v>71</v>
      </c>
      <c r="E17" s="4" t="s">
        <v>72</v>
      </c>
      <c r="F17" s="4" t="s">
        <v>73</v>
      </c>
      <c r="G17" s="4" t="s">
        <v>25</v>
      </c>
      <c r="H17" s="4" t="s">
        <v>43</v>
      </c>
      <c r="I17" s="5">
        <v>46229</v>
      </c>
      <c r="J17" s="4">
        <v>100</v>
      </c>
      <c r="K17" s="7">
        <v>93.22517249532396</v>
      </c>
      <c r="L17" s="7">
        <v>149.16027599251834</v>
      </c>
      <c r="M17" s="4" t="s">
        <v>74</v>
      </c>
      <c r="N17" s="4">
        <v>39.270000000000003</v>
      </c>
      <c r="O17" s="4">
        <v>28</v>
      </c>
      <c r="P17" s="7">
        <v>1.4025000000000001</v>
      </c>
      <c r="Q17" s="4">
        <v>210</v>
      </c>
      <c r="R17" s="5">
        <v>46224.529861111099</v>
      </c>
      <c r="S17" s="9">
        <v>4.2</v>
      </c>
      <c r="T17" s="10">
        <v>3.17</v>
      </c>
      <c r="U17" s="10"/>
      <c r="V17" s="10"/>
      <c r="W17" s="13">
        <f t="shared" si="0"/>
        <v>100</v>
      </c>
      <c r="X17" s="13"/>
      <c r="Y17" s="10"/>
      <c r="Z17" s="10"/>
    </row>
    <row r="18" spans="1:26" x14ac:dyDescent="0.35">
      <c r="A18" s="4" t="s">
        <v>75</v>
      </c>
      <c r="B18" s="4" t="s">
        <v>15</v>
      </c>
      <c r="C18" s="4" t="s">
        <v>32</v>
      </c>
      <c r="D18" s="4" t="s">
        <v>75</v>
      </c>
      <c r="E18" s="4" t="s">
        <v>76</v>
      </c>
      <c r="F18" s="4" t="s">
        <v>77</v>
      </c>
      <c r="G18" s="4" t="s">
        <v>25</v>
      </c>
      <c r="H18" s="4" t="s">
        <v>20</v>
      </c>
      <c r="I18" s="5">
        <v>46229</v>
      </c>
      <c r="J18" s="4">
        <v>0</v>
      </c>
      <c r="K18" s="7">
        <v>168.53248169487648</v>
      </c>
      <c r="L18" s="7">
        <v>269.65197071180239</v>
      </c>
      <c r="M18" s="4">
        <v>1000</v>
      </c>
      <c r="N18" s="4">
        <v>57.06</v>
      </c>
      <c r="O18" s="4">
        <v>28</v>
      </c>
      <c r="P18" s="7">
        <v>2.0378571428571428</v>
      </c>
      <c r="Q18" s="4">
        <v>390</v>
      </c>
      <c r="R18" s="5">
        <v>46220.805555555598</v>
      </c>
      <c r="S18" s="9">
        <v>4</v>
      </c>
      <c r="T18" s="10">
        <v>3.6</v>
      </c>
      <c r="U18" s="10" t="s">
        <v>533</v>
      </c>
      <c r="V18" s="10"/>
      <c r="W18" s="13">
        <f t="shared" si="0"/>
        <v>0</v>
      </c>
      <c r="X18" s="13"/>
      <c r="Y18" s="10"/>
      <c r="Z18" s="10"/>
    </row>
    <row r="19" spans="1:26" x14ac:dyDescent="0.35">
      <c r="A19" s="4" t="s">
        <v>78</v>
      </c>
      <c r="B19" s="4" t="s">
        <v>15</v>
      </c>
      <c r="C19" s="4" t="s">
        <v>40</v>
      </c>
      <c r="D19" s="4" t="s">
        <v>78</v>
      </c>
      <c r="E19" s="4" t="s">
        <v>79</v>
      </c>
      <c r="F19" s="4" t="s">
        <v>80</v>
      </c>
      <c r="G19" s="4" t="s">
        <v>25</v>
      </c>
      <c r="H19" s="4" t="s">
        <v>53</v>
      </c>
      <c r="I19" s="5">
        <v>46229</v>
      </c>
      <c r="J19" s="4">
        <v>500</v>
      </c>
      <c r="K19" s="7">
        <v>518.08821487239913</v>
      </c>
      <c r="L19" s="7">
        <v>828.94114379583868</v>
      </c>
      <c r="M19" s="4">
        <v>1000</v>
      </c>
      <c r="N19" s="4">
        <v>193.08</v>
      </c>
      <c r="O19" s="4">
        <v>28</v>
      </c>
      <c r="P19" s="7">
        <v>6.8957142857142859</v>
      </c>
      <c r="Q19" s="4">
        <v>480</v>
      </c>
      <c r="R19" s="5">
        <v>46225.708333333299</v>
      </c>
      <c r="S19" s="9">
        <v>5.45</v>
      </c>
      <c r="T19" s="10">
        <v>4.7300000000000004</v>
      </c>
      <c r="U19" s="10"/>
      <c r="V19" s="10">
        <v>450</v>
      </c>
      <c r="W19" s="13"/>
      <c r="X19" s="13"/>
      <c r="Y19" s="10">
        <v>50</v>
      </c>
      <c r="Z19" s="10"/>
    </row>
    <row r="20" spans="1:26" x14ac:dyDescent="0.35">
      <c r="A20" s="4" t="s">
        <v>81</v>
      </c>
      <c r="B20" s="4" t="s">
        <v>15</v>
      </c>
      <c r="C20" s="4" t="s">
        <v>40</v>
      </c>
      <c r="D20" s="4" t="s">
        <v>81</v>
      </c>
      <c r="E20" s="4"/>
      <c r="F20" s="4" t="s">
        <v>82</v>
      </c>
      <c r="G20" s="4" t="s">
        <v>25</v>
      </c>
      <c r="H20" s="4" t="s">
        <v>20</v>
      </c>
      <c r="I20" s="5">
        <v>46229</v>
      </c>
      <c r="J20" s="4">
        <v>400</v>
      </c>
      <c r="K20" s="7">
        <v>720.30330369303283</v>
      </c>
      <c r="L20" s="7">
        <v>1152.4852859088526</v>
      </c>
      <c r="M20" s="4">
        <v>1000</v>
      </c>
      <c r="N20" s="4">
        <v>664.95</v>
      </c>
      <c r="O20" s="4">
        <v>28</v>
      </c>
      <c r="P20" s="7">
        <v>23.748214285714287</v>
      </c>
      <c r="Q20" s="4">
        <v>520</v>
      </c>
      <c r="R20" s="5">
        <v>46220.791666666701</v>
      </c>
      <c r="S20" s="9">
        <v>3</v>
      </c>
      <c r="T20" s="10">
        <v>2.61</v>
      </c>
      <c r="U20" s="10"/>
      <c r="V20" s="10"/>
      <c r="W20" s="13"/>
      <c r="X20" s="13"/>
      <c r="Y20" s="10">
        <v>400</v>
      </c>
      <c r="Z20" s="10"/>
    </row>
    <row r="21" spans="1:26" x14ac:dyDescent="0.35">
      <c r="A21" s="4" t="s">
        <v>83</v>
      </c>
      <c r="B21" s="4" t="s">
        <v>15</v>
      </c>
      <c r="C21" s="4" t="s">
        <v>22</v>
      </c>
      <c r="D21" s="4" t="s">
        <v>83</v>
      </c>
      <c r="E21" s="4" t="s">
        <v>84</v>
      </c>
      <c r="F21" s="4" t="s">
        <v>85</v>
      </c>
      <c r="G21" s="4" t="s">
        <v>527</v>
      </c>
      <c r="H21" s="4" t="s">
        <v>20</v>
      </c>
      <c r="I21" s="5">
        <v>46229</v>
      </c>
      <c r="J21" s="4">
        <v>50</v>
      </c>
      <c r="K21" s="7">
        <v>52.901845515997515</v>
      </c>
      <c r="L21" s="7">
        <v>84.642952825596026</v>
      </c>
      <c r="M21" s="4">
        <v>500</v>
      </c>
      <c r="N21" s="4">
        <v>34.22</v>
      </c>
      <c r="O21" s="4">
        <v>28</v>
      </c>
      <c r="P21" s="7">
        <v>1.2221428571428572</v>
      </c>
      <c r="Q21" s="4">
        <v>218.5</v>
      </c>
      <c r="R21" s="5">
        <v>46218.395833333299</v>
      </c>
      <c r="S21" s="9">
        <v>2.5294117647058822</v>
      </c>
      <c r="T21" s="10">
        <v>2.09</v>
      </c>
      <c r="U21" s="10"/>
      <c r="V21" s="10"/>
      <c r="W21" s="13"/>
      <c r="X21" s="13"/>
      <c r="Y21" s="10">
        <v>50</v>
      </c>
      <c r="Z21" s="10"/>
    </row>
    <row r="22" spans="1:26" x14ac:dyDescent="0.35">
      <c r="A22" s="4" t="s">
        <v>86</v>
      </c>
      <c r="B22" s="4" t="s">
        <v>15</v>
      </c>
      <c r="C22" s="4" t="s">
        <v>32</v>
      </c>
      <c r="D22" s="4" t="s">
        <v>86</v>
      </c>
      <c r="E22" s="4" t="s">
        <v>87</v>
      </c>
      <c r="F22" s="4" t="s">
        <v>88</v>
      </c>
      <c r="G22" s="4" t="s">
        <v>25</v>
      </c>
      <c r="H22" s="4" t="s">
        <v>43</v>
      </c>
      <c r="I22" s="5">
        <v>46229</v>
      </c>
      <c r="J22" s="4">
        <v>150</v>
      </c>
      <c r="K22" s="7">
        <v>107.30836391979157</v>
      </c>
      <c r="L22" s="7">
        <v>171.69338227166654</v>
      </c>
      <c r="M22" s="4">
        <v>600</v>
      </c>
      <c r="N22" s="4">
        <v>3.05</v>
      </c>
      <c r="O22" s="4">
        <v>28</v>
      </c>
      <c r="P22" s="7">
        <v>0.10892857142857142</v>
      </c>
      <c r="Q22" s="4">
        <v>160</v>
      </c>
      <c r="R22" s="5">
        <v>46221.648611111101</v>
      </c>
      <c r="S22" s="9">
        <v>2.23</v>
      </c>
      <c r="T22" s="10">
        <v>2.61</v>
      </c>
      <c r="U22" s="10"/>
      <c r="V22" s="10"/>
      <c r="W22" s="13">
        <f t="shared" si="0"/>
        <v>150</v>
      </c>
      <c r="X22" s="13"/>
      <c r="Y22" s="10"/>
      <c r="Z22" s="10"/>
    </row>
    <row r="23" spans="1:26" x14ac:dyDescent="0.35">
      <c r="A23" s="4" t="s">
        <v>89</v>
      </c>
      <c r="B23" s="4" t="s">
        <v>15</v>
      </c>
      <c r="C23" s="4" t="s">
        <v>32</v>
      </c>
      <c r="D23" s="4" t="s">
        <v>89</v>
      </c>
      <c r="E23" s="4"/>
      <c r="F23" s="4" t="s">
        <v>90</v>
      </c>
      <c r="G23" s="4" t="s">
        <v>25</v>
      </c>
      <c r="H23" s="4" t="s">
        <v>20</v>
      </c>
      <c r="I23" s="5">
        <v>46229</v>
      </c>
      <c r="J23" s="4">
        <v>200</v>
      </c>
      <c r="K23" s="7">
        <v>40.330775495614496</v>
      </c>
      <c r="L23" s="7">
        <v>64.529240792983202</v>
      </c>
      <c r="M23" s="4">
        <v>1000</v>
      </c>
      <c r="N23" s="4">
        <v>667.49</v>
      </c>
      <c r="O23" s="4">
        <v>28</v>
      </c>
      <c r="P23" s="7">
        <v>23.838928571428571</v>
      </c>
      <c r="Q23" s="4">
        <v>50</v>
      </c>
      <c r="R23" s="5">
        <v>46223.536805555603</v>
      </c>
      <c r="S23" s="9" t="s">
        <v>530</v>
      </c>
      <c r="T23" s="10">
        <v>2.61</v>
      </c>
      <c r="U23" s="10" t="s">
        <v>534</v>
      </c>
      <c r="V23" s="10">
        <v>200</v>
      </c>
      <c r="W23" s="13">
        <f t="shared" si="0"/>
        <v>0</v>
      </c>
      <c r="X23" s="13"/>
      <c r="Y23" s="10"/>
      <c r="Z23" s="10"/>
    </row>
    <row r="24" spans="1:26" x14ac:dyDescent="0.35">
      <c r="A24" s="4" t="s">
        <v>91</v>
      </c>
      <c r="B24" s="4" t="s">
        <v>15</v>
      </c>
      <c r="C24" s="4" t="s">
        <v>32</v>
      </c>
      <c r="D24" s="4" t="s">
        <v>91</v>
      </c>
      <c r="E24" s="4" t="s">
        <v>92</v>
      </c>
      <c r="F24" s="4" t="s">
        <v>93</v>
      </c>
      <c r="G24" s="4" t="s">
        <v>25</v>
      </c>
      <c r="H24" s="4" t="s">
        <v>20</v>
      </c>
      <c r="I24" s="5">
        <v>46229</v>
      </c>
      <c r="J24" s="4">
        <v>50</v>
      </c>
      <c r="K24" s="7">
        <v>68.250232043864401</v>
      </c>
      <c r="L24" s="7">
        <v>109.20037127018304</v>
      </c>
      <c r="M24" s="4">
        <v>62</v>
      </c>
      <c r="N24" s="4">
        <v>42.35</v>
      </c>
      <c r="O24" s="4">
        <v>28</v>
      </c>
      <c r="P24" s="7">
        <v>1.5125</v>
      </c>
      <c r="Q24" s="4">
        <v>6</v>
      </c>
      <c r="R24" s="5">
        <v>46223.479166666701</v>
      </c>
      <c r="S24" s="9" t="s">
        <v>530</v>
      </c>
      <c r="T24" s="10">
        <v>3.46</v>
      </c>
      <c r="U24" s="10"/>
      <c r="V24" s="10"/>
      <c r="W24" s="13"/>
      <c r="X24" s="13"/>
      <c r="Y24" s="10">
        <v>50</v>
      </c>
      <c r="Z24" s="10"/>
    </row>
    <row r="25" spans="1:26" x14ac:dyDescent="0.35">
      <c r="A25" s="4" t="s">
        <v>94</v>
      </c>
      <c r="B25" s="4" t="s">
        <v>15</v>
      </c>
      <c r="C25" s="4" t="s">
        <v>22</v>
      </c>
      <c r="D25" s="4" t="s">
        <v>94</v>
      </c>
      <c r="E25" s="4" t="s">
        <v>95</v>
      </c>
      <c r="F25" s="4" t="s">
        <v>96</v>
      </c>
      <c r="G25" s="4" t="s">
        <v>25</v>
      </c>
      <c r="H25" s="4" t="s">
        <v>20</v>
      </c>
      <c r="I25" s="5">
        <v>46229</v>
      </c>
      <c r="J25" s="4"/>
      <c r="K25" s="7">
        <v>25.740504182567129</v>
      </c>
      <c r="L25" s="7">
        <v>41.184806692107408</v>
      </c>
      <c r="M25" s="4">
        <v>1000</v>
      </c>
      <c r="N25" s="4">
        <v>4.5599999999999996</v>
      </c>
      <c r="O25" s="4">
        <v>28</v>
      </c>
      <c r="P25" s="7">
        <v>0.16285714285714284</v>
      </c>
      <c r="Q25" s="4">
        <v>438</v>
      </c>
      <c r="R25" s="5">
        <v>46220.4375</v>
      </c>
      <c r="S25" s="9">
        <v>2.5</v>
      </c>
      <c r="T25" s="10">
        <v>1.96</v>
      </c>
      <c r="U25" s="10"/>
      <c r="V25" s="10"/>
      <c r="W25" s="13">
        <f t="shared" si="0"/>
        <v>0</v>
      </c>
      <c r="X25" s="13"/>
      <c r="Y25" s="10"/>
      <c r="Z25" s="10"/>
    </row>
    <row r="26" spans="1:26" x14ac:dyDescent="0.35">
      <c r="A26" s="4" t="s">
        <v>97</v>
      </c>
      <c r="B26" s="4" t="s">
        <v>15</v>
      </c>
      <c r="C26" s="4" t="s">
        <v>40</v>
      </c>
      <c r="D26" s="4" t="s">
        <v>97</v>
      </c>
      <c r="E26" s="4" t="s">
        <v>98</v>
      </c>
      <c r="F26" s="4" t="s">
        <v>99</v>
      </c>
      <c r="G26" s="4" t="s">
        <v>25</v>
      </c>
      <c r="H26" s="4" t="s">
        <v>43</v>
      </c>
      <c r="I26" s="5">
        <v>46229</v>
      </c>
      <c r="J26" s="4">
        <v>650</v>
      </c>
      <c r="K26" s="7">
        <v>856.04510541870661</v>
      </c>
      <c r="L26" s="7">
        <v>1369.6721686699307</v>
      </c>
      <c r="M26" s="4">
        <v>1000</v>
      </c>
      <c r="N26" s="4">
        <v>641.96</v>
      </c>
      <c r="O26" s="4">
        <v>28</v>
      </c>
      <c r="P26" s="7">
        <v>22.927142857142858</v>
      </c>
      <c r="Q26" s="4">
        <v>695</v>
      </c>
      <c r="R26" s="5">
        <v>46220.75</v>
      </c>
      <c r="S26" s="9">
        <v>4.1025641025641022</v>
      </c>
      <c r="T26" s="10">
        <v>2.77</v>
      </c>
      <c r="U26" s="10"/>
      <c r="V26" s="10">
        <v>680</v>
      </c>
      <c r="W26" s="13"/>
      <c r="X26" s="13"/>
      <c r="Y26" s="10"/>
      <c r="Z26" s="10"/>
    </row>
    <row r="27" spans="1:26" x14ac:dyDescent="0.35">
      <c r="A27" s="4" t="s">
        <v>100</v>
      </c>
      <c r="B27" s="4" t="s">
        <v>15</v>
      </c>
      <c r="C27" s="4" t="s">
        <v>40</v>
      </c>
      <c r="D27" s="4" t="s">
        <v>100</v>
      </c>
      <c r="E27" s="4"/>
      <c r="F27" s="4" t="s">
        <v>101</v>
      </c>
      <c r="G27" s="4" t="s">
        <v>25</v>
      </c>
      <c r="H27" s="4" t="s">
        <v>67</v>
      </c>
      <c r="I27" s="5">
        <v>46229</v>
      </c>
      <c r="J27" s="4">
        <v>700</v>
      </c>
      <c r="K27" s="7">
        <v>716.26833957006136</v>
      </c>
      <c r="L27" s="7">
        <v>1146.0293433120983</v>
      </c>
      <c r="M27" s="4">
        <v>1000</v>
      </c>
      <c r="N27" s="4">
        <v>281.58999999999997</v>
      </c>
      <c r="O27" s="4">
        <v>28</v>
      </c>
      <c r="P27" s="7">
        <v>10.056785714285713</v>
      </c>
      <c r="Q27" s="4">
        <v>135</v>
      </c>
      <c r="R27" s="5">
        <v>46225.875</v>
      </c>
      <c r="S27" s="9">
        <v>4.68</v>
      </c>
      <c r="T27" s="10">
        <v>4.99</v>
      </c>
      <c r="U27" s="10"/>
      <c r="V27" s="10"/>
      <c r="W27" s="13">
        <f t="shared" si="0"/>
        <v>700</v>
      </c>
      <c r="X27" s="13"/>
      <c r="Y27" s="10"/>
      <c r="Z27" s="10"/>
    </row>
    <row r="28" spans="1:26" x14ac:dyDescent="0.35">
      <c r="A28" s="4" t="s">
        <v>102</v>
      </c>
      <c r="B28" s="4" t="s">
        <v>15</v>
      </c>
      <c r="C28" s="4" t="s">
        <v>16</v>
      </c>
      <c r="D28" s="4" t="s">
        <v>102</v>
      </c>
      <c r="E28" s="4" t="s">
        <v>103</v>
      </c>
      <c r="F28" s="4" t="s">
        <v>104</v>
      </c>
      <c r="G28" s="4" t="s">
        <v>19</v>
      </c>
      <c r="H28" s="4" t="s">
        <v>20</v>
      </c>
      <c r="I28" s="5">
        <v>46229</v>
      </c>
      <c r="J28" s="4">
        <v>750</v>
      </c>
      <c r="K28" s="7">
        <v>772.62022022249937</v>
      </c>
      <c r="L28" s="7">
        <v>1236.192352355999</v>
      </c>
      <c r="M28" s="4">
        <v>2000</v>
      </c>
      <c r="N28" s="4">
        <v>656.28</v>
      </c>
      <c r="O28" s="4">
        <v>28</v>
      </c>
      <c r="P28" s="7">
        <v>23.438571428571429</v>
      </c>
      <c r="Q28" s="4">
        <v>393</v>
      </c>
      <c r="R28" s="5">
        <v>46224.625</v>
      </c>
      <c r="S28" s="9">
        <v>2.2937500000000002</v>
      </c>
      <c r="T28" s="10">
        <v>2.5</v>
      </c>
      <c r="U28" s="10"/>
      <c r="V28" s="10">
        <v>250</v>
      </c>
      <c r="W28" s="13"/>
      <c r="X28" s="13"/>
      <c r="Y28" s="10">
        <v>250</v>
      </c>
      <c r="Z28" s="9">
        <v>500</v>
      </c>
    </row>
    <row r="29" spans="1:26" x14ac:dyDescent="0.35">
      <c r="A29" s="4" t="s">
        <v>105</v>
      </c>
      <c r="B29" s="4" t="s">
        <v>15</v>
      </c>
      <c r="C29" s="4" t="s">
        <v>40</v>
      </c>
      <c r="D29" s="4" t="s">
        <v>105</v>
      </c>
      <c r="E29" s="4" t="s">
        <v>106</v>
      </c>
      <c r="F29" s="4" t="s">
        <v>107</v>
      </c>
      <c r="G29" s="4" t="s">
        <v>25</v>
      </c>
      <c r="H29" s="4" t="s">
        <v>108</v>
      </c>
      <c r="I29" s="5">
        <v>46229</v>
      </c>
      <c r="J29" s="4">
        <v>150</v>
      </c>
      <c r="K29" s="7">
        <v>198.7488254500357</v>
      </c>
      <c r="L29" s="7">
        <v>317.99812072005716</v>
      </c>
      <c r="M29" s="4">
        <v>300</v>
      </c>
      <c r="N29" s="4">
        <v>41.69</v>
      </c>
      <c r="O29" s="4">
        <v>28</v>
      </c>
      <c r="P29" s="7">
        <v>1.4889285714285714</v>
      </c>
      <c r="Q29" s="4">
        <v>157</v>
      </c>
      <c r="R29" s="5">
        <v>46215.583333333299</v>
      </c>
      <c r="S29" s="9">
        <v>4.5999999999999996</v>
      </c>
      <c r="T29" s="10">
        <v>4.7300000000000004</v>
      </c>
      <c r="U29" s="10"/>
      <c r="V29" s="10"/>
      <c r="W29" s="13"/>
      <c r="X29" s="13"/>
      <c r="Y29" s="10">
        <v>150</v>
      </c>
      <c r="Z29" s="10"/>
    </row>
    <row r="30" spans="1:26" x14ac:dyDescent="0.35">
      <c r="A30" s="4" t="s">
        <v>109</v>
      </c>
      <c r="B30" s="4" t="s">
        <v>15</v>
      </c>
      <c r="C30" s="4" t="s">
        <v>32</v>
      </c>
      <c r="D30" s="4" t="s">
        <v>109</v>
      </c>
      <c r="E30" s="4" t="s">
        <v>110</v>
      </c>
      <c r="F30" s="4" t="s">
        <v>111</v>
      </c>
      <c r="G30" s="4" t="s">
        <v>25</v>
      </c>
      <c r="H30" s="4" t="s">
        <v>20</v>
      </c>
      <c r="I30" s="5">
        <v>46229</v>
      </c>
      <c r="J30" s="4">
        <v>450</v>
      </c>
      <c r="K30" s="7">
        <v>974.02803531161965</v>
      </c>
      <c r="L30" s="7">
        <v>1558.4448564985914</v>
      </c>
      <c r="M30" s="4">
        <v>500</v>
      </c>
      <c r="N30" s="4">
        <v>667.61</v>
      </c>
      <c r="O30" s="4">
        <v>28</v>
      </c>
      <c r="P30" s="7">
        <v>23.843214285714286</v>
      </c>
      <c r="Q30" s="4">
        <v>425</v>
      </c>
      <c r="R30" s="5">
        <v>46221.083333333299</v>
      </c>
      <c r="S30" s="9">
        <v>2.4901960784313726</v>
      </c>
      <c r="T30" s="10">
        <v>3.17</v>
      </c>
      <c r="U30" s="10"/>
      <c r="V30" s="10">
        <v>410</v>
      </c>
      <c r="W30" s="13"/>
      <c r="X30" s="13"/>
      <c r="Y30" s="10">
        <v>40</v>
      </c>
      <c r="Z30" s="10"/>
    </row>
    <row r="31" spans="1:26" x14ac:dyDescent="0.35">
      <c r="A31" s="4" t="s">
        <v>112</v>
      </c>
      <c r="B31" s="4" t="s">
        <v>15</v>
      </c>
      <c r="C31" s="4" t="s">
        <v>22</v>
      </c>
      <c r="D31" s="4" t="s">
        <v>112</v>
      </c>
      <c r="E31" s="4" t="s">
        <v>113</v>
      </c>
      <c r="F31" s="4" t="s">
        <v>114</v>
      </c>
      <c r="G31" s="4" t="s">
        <v>25</v>
      </c>
      <c r="H31" s="4" t="s">
        <v>53</v>
      </c>
      <c r="I31" s="5">
        <v>46229</v>
      </c>
      <c r="J31" s="4">
        <v>120</v>
      </c>
      <c r="K31" s="7">
        <v>107.30836391979157</v>
      </c>
      <c r="L31" s="7">
        <v>171.69338227166654</v>
      </c>
      <c r="M31" s="4">
        <v>500</v>
      </c>
      <c r="N31" s="4">
        <v>52.32</v>
      </c>
      <c r="O31" s="4">
        <v>28</v>
      </c>
      <c r="P31" s="7">
        <v>1.8685714285714285</v>
      </c>
      <c r="Q31" s="4">
        <v>327.2</v>
      </c>
      <c r="R31" s="5">
        <v>46220.576388888898</v>
      </c>
      <c r="S31" s="9">
        <v>5.4545454545454541</v>
      </c>
      <c r="T31" s="10">
        <v>4.34</v>
      </c>
      <c r="U31" s="10"/>
      <c r="V31" s="10"/>
      <c r="W31" s="13"/>
      <c r="X31" s="13"/>
      <c r="Y31" s="10">
        <v>120</v>
      </c>
      <c r="Z31" s="10"/>
    </row>
    <row r="32" spans="1:26" x14ac:dyDescent="0.35">
      <c r="A32" s="4" t="s">
        <v>115</v>
      </c>
      <c r="B32" s="4" t="s">
        <v>15</v>
      </c>
      <c r="C32" s="4" t="s">
        <v>40</v>
      </c>
      <c r="D32" s="4" t="s">
        <v>115</v>
      </c>
      <c r="E32" s="4" t="s">
        <v>116</v>
      </c>
      <c r="F32" s="4" t="s">
        <v>117</v>
      </c>
      <c r="G32" s="4" t="s">
        <v>25</v>
      </c>
      <c r="H32" s="4" t="s">
        <v>67</v>
      </c>
      <c r="I32" s="5">
        <v>46229</v>
      </c>
      <c r="J32" s="4">
        <v>450</v>
      </c>
      <c r="K32" s="7">
        <v>640.12875668212041</v>
      </c>
      <c r="L32" s="7">
        <v>1024.2060106913927</v>
      </c>
      <c r="M32" s="4">
        <v>1000</v>
      </c>
      <c r="N32" s="4">
        <v>197.04</v>
      </c>
      <c r="O32" s="4">
        <v>28</v>
      </c>
      <c r="P32" s="7">
        <v>7.0371428571428565</v>
      </c>
      <c r="Q32" s="4">
        <v>500</v>
      </c>
      <c r="R32" s="5">
        <v>46225.625</v>
      </c>
      <c r="S32" s="9">
        <v>6.5</v>
      </c>
      <c r="T32" s="10">
        <v>6.1</v>
      </c>
      <c r="U32" s="10"/>
      <c r="V32" s="10"/>
      <c r="W32" s="13"/>
      <c r="X32" s="13"/>
      <c r="Y32" s="10">
        <v>450</v>
      </c>
      <c r="Z32" s="10"/>
    </row>
    <row r="33" spans="1:26" x14ac:dyDescent="0.35">
      <c r="A33" s="4" t="s">
        <v>118</v>
      </c>
      <c r="B33" s="4" t="s">
        <v>15</v>
      </c>
      <c r="C33" s="4" t="s">
        <v>40</v>
      </c>
      <c r="D33" s="4" t="s">
        <v>118</v>
      </c>
      <c r="E33" s="4" t="s">
        <v>119</v>
      </c>
      <c r="F33" s="4" t="s">
        <v>120</v>
      </c>
      <c r="G33" s="4" t="s">
        <v>25</v>
      </c>
      <c r="H33" s="4" t="s">
        <v>20</v>
      </c>
      <c r="I33" s="5">
        <v>46229</v>
      </c>
      <c r="J33" s="4">
        <v>250</v>
      </c>
      <c r="K33" s="7">
        <v>119.86348424204138</v>
      </c>
      <c r="L33" s="7">
        <v>191.78157478726621</v>
      </c>
      <c r="M33" s="4">
        <v>500</v>
      </c>
      <c r="N33" s="4">
        <v>69.31</v>
      </c>
      <c r="O33" s="4">
        <v>28</v>
      </c>
      <c r="P33" s="7">
        <v>2.4753571428571428</v>
      </c>
      <c r="Q33" s="4">
        <v>110</v>
      </c>
      <c r="R33" s="5">
        <v>46220.46875</v>
      </c>
      <c r="S33" s="9">
        <v>3.6</v>
      </c>
      <c r="T33" s="10">
        <v>4.34</v>
      </c>
      <c r="U33" s="10"/>
      <c r="V33" s="10"/>
      <c r="W33" s="13"/>
      <c r="X33" s="13"/>
      <c r="Y33" s="10">
        <v>250</v>
      </c>
      <c r="Z33" s="10"/>
    </row>
    <row r="34" spans="1:26" x14ac:dyDescent="0.35">
      <c r="A34" s="4" t="s">
        <v>121</v>
      </c>
      <c r="B34" s="4" t="s">
        <v>15</v>
      </c>
      <c r="C34" s="4" t="s">
        <v>16</v>
      </c>
      <c r="D34" s="4" t="s">
        <v>121</v>
      </c>
      <c r="E34" s="4" t="s">
        <v>122</v>
      </c>
      <c r="F34" s="4" t="s">
        <v>123</v>
      </c>
      <c r="G34" s="4" t="s">
        <v>25</v>
      </c>
      <c r="H34" s="4" t="s">
        <v>43</v>
      </c>
      <c r="I34" s="5">
        <v>46229</v>
      </c>
      <c r="J34" s="4">
        <v>350</v>
      </c>
      <c r="K34" s="7">
        <v>600.84929900428233</v>
      </c>
      <c r="L34" s="7">
        <v>961.35887840685177</v>
      </c>
      <c r="M34" s="4">
        <v>500</v>
      </c>
      <c r="N34" s="4">
        <v>657.76</v>
      </c>
      <c r="O34" s="4">
        <v>28</v>
      </c>
      <c r="P34" s="7">
        <v>23.491428571428571</v>
      </c>
      <c r="Q34" s="4">
        <v>334</v>
      </c>
      <c r="R34" s="5">
        <v>46224.458333333299</v>
      </c>
      <c r="S34" s="9" t="s">
        <v>530</v>
      </c>
      <c r="T34" s="10">
        <v>1.96</v>
      </c>
      <c r="U34" s="10"/>
      <c r="V34" s="10">
        <v>100</v>
      </c>
      <c r="W34" s="13"/>
      <c r="X34" s="13"/>
      <c r="Y34" s="10"/>
      <c r="Z34" s="9">
        <v>250</v>
      </c>
    </row>
    <row r="35" spans="1:26" x14ac:dyDescent="0.35">
      <c r="A35" s="4" t="s">
        <v>124</v>
      </c>
      <c r="B35" s="4" t="s">
        <v>15</v>
      </c>
      <c r="C35" s="4" t="s">
        <v>16</v>
      </c>
      <c r="D35" s="4" t="s">
        <v>124</v>
      </c>
      <c r="E35" s="4" t="s">
        <v>125</v>
      </c>
      <c r="F35" s="4" t="s">
        <v>126</v>
      </c>
      <c r="G35" s="4" t="s">
        <v>127</v>
      </c>
      <c r="H35" s="4" t="s">
        <v>20</v>
      </c>
      <c r="I35" s="5">
        <v>46229</v>
      </c>
      <c r="J35" s="4">
        <v>450</v>
      </c>
      <c r="K35" s="7">
        <v>453.84364654328357</v>
      </c>
      <c r="L35" s="7">
        <v>726.14983446925373</v>
      </c>
      <c r="M35" s="4">
        <v>1000</v>
      </c>
      <c r="N35" s="4">
        <v>267.27999999999997</v>
      </c>
      <c r="O35" s="4">
        <v>28</v>
      </c>
      <c r="P35" s="7">
        <v>9.5457142857142845</v>
      </c>
      <c r="Q35" s="4">
        <v>394</v>
      </c>
      <c r="R35" s="5">
        <v>46219.791666666701</v>
      </c>
      <c r="S35" s="9">
        <v>4.1428571428571432</v>
      </c>
      <c r="T35" s="10">
        <v>3.31</v>
      </c>
      <c r="U35" s="10"/>
      <c r="V35" s="10">
        <v>100</v>
      </c>
      <c r="W35" s="13"/>
      <c r="X35" s="13">
        <v>200</v>
      </c>
      <c r="Y35" s="10"/>
      <c r="Z35" s="9">
        <v>150</v>
      </c>
    </row>
    <row r="36" spans="1:26" x14ac:dyDescent="0.35">
      <c r="A36" s="4" t="s">
        <v>128</v>
      </c>
      <c r="B36" s="4" t="s">
        <v>15</v>
      </c>
      <c r="C36" s="4" t="s">
        <v>22</v>
      </c>
      <c r="D36" s="4" t="s">
        <v>128</v>
      </c>
      <c r="E36" s="4" t="s">
        <v>129</v>
      </c>
      <c r="F36" s="4" t="s">
        <v>130</v>
      </c>
      <c r="G36" s="4" t="s">
        <v>25</v>
      </c>
      <c r="H36" s="4" t="s">
        <v>20</v>
      </c>
      <c r="I36" s="5">
        <v>46229</v>
      </c>
      <c r="J36" s="4">
        <v>150</v>
      </c>
      <c r="K36" s="7">
        <v>37.813895706761144</v>
      </c>
      <c r="L36" s="7">
        <v>60.502233130817835</v>
      </c>
      <c r="M36" s="4">
        <v>1000</v>
      </c>
      <c r="N36" s="4">
        <v>4.8899999999999997</v>
      </c>
      <c r="O36" s="4">
        <v>28</v>
      </c>
      <c r="P36" s="7">
        <v>0.17464285714285713</v>
      </c>
      <c r="Q36" s="4">
        <v>165</v>
      </c>
      <c r="R36" s="5">
        <v>46224.319444444503</v>
      </c>
      <c r="S36" s="9">
        <v>2.4761904761904763</v>
      </c>
      <c r="T36" s="10">
        <v>2.92</v>
      </c>
      <c r="U36" s="10"/>
      <c r="V36" s="10"/>
      <c r="W36" s="13"/>
      <c r="X36" s="13"/>
      <c r="Y36" s="10">
        <v>150</v>
      </c>
      <c r="Z36" s="10"/>
    </row>
    <row r="37" spans="1:26" x14ac:dyDescent="0.35">
      <c r="A37" s="4" t="s">
        <v>131</v>
      </c>
      <c r="B37" s="4"/>
      <c r="C37" s="4" t="s">
        <v>40</v>
      </c>
      <c r="D37" s="4" t="s">
        <v>131</v>
      </c>
      <c r="E37" s="4" t="s">
        <v>132</v>
      </c>
      <c r="F37" s="4" t="s">
        <v>133</v>
      </c>
      <c r="G37" s="4" t="s">
        <v>25</v>
      </c>
      <c r="H37" s="4" t="s">
        <v>20</v>
      </c>
      <c r="I37" s="5">
        <v>46229</v>
      </c>
      <c r="J37" s="4">
        <v>75</v>
      </c>
      <c r="K37" s="7">
        <v>160.73976554895722</v>
      </c>
      <c r="L37" s="7">
        <v>257.18362487833156</v>
      </c>
      <c r="M37" s="4">
        <v>500</v>
      </c>
      <c r="N37" s="4">
        <v>3.46</v>
      </c>
      <c r="O37" s="4">
        <v>28</v>
      </c>
      <c r="P37" s="7">
        <v>0.12357142857142857</v>
      </c>
      <c r="Q37" s="4" t="s">
        <v>134</v>
      </c>
      <c r="R37" s="5"/>
      <c r="S37" s="9" t="s">
        <v>530</v>
      </c>
      <c r="T37" s="10">
        <v>4.8600000000000003</v>
      </c>
      <c r="U37" s="10"/>
      <c r="V37" s="10"/>
      <c r="W37" s="13"/>
      <c r="X37" s="13"/>
      <c r="Y37" s="10">
        <v>75</v>
      </c>
      <c r="Z37" s="10"/>
    </row>
    <row r="38" spans="1:26" x14ac:dyDescent="0.35">
      <c r="A38" s="4" t="s">
        <v>135</v>
      </c>
      <c r="B38" s="4" t="s">
        <v>15</v>
      </c>
      <c r="C38" s="4" t="s">
        <v>136</v>
      </c>
      <c r="D38" s="4" t="s">
        <v>135</v>
      </c>
      <c r="E38" s="4" t="s">
        <v>137</v>
      </c>
      <c r="F38" s="4" t="s">
        <v>138</v>
      </c>
      <c r="G38" s="4" t="s">
        <v>25</v>
      </c>
      <c r="H38" s="4" t="s">
        <v>20</v>
      </c>
      <c r="I38" s="5">
        <v>46229</v>
      </c>
      <c r="J38" s="4">
        <v>520</v>
      </c>
      <c r="K38" s="7">
        <v>814.9413694200357</v>
      </c>
      <c r="L38" s="7">
        <v>1303.9061910720573</v>
      </c>
      <c r="M38" s="4">
        <v>650</v>
      </c>
      <c r="N38" s="4">
        <v>665.2</v>
      </c>
      <c r="O38" s="4">
        <v>28</v>
      </c>
      <c r="P38" s="7">
        <v>23.75714285714286</v>
      </c>
      <c r="Q38" s="4">
        <v>465</v>
      </c>
      <c r="R38" s="5">
        <v>46216.371527777803</v>
      </c>
      <c r="S38" s="9">
        <v>3.4523809523809526</v>
      </c>
      <c r="T38" s="10">
        <v>2.66</v>
      </c>
      <c r="U38" s="10"/>
      <c r="V38" s="10">
        <v>200</v>
      </c>
      <c r="W38" s="13"/>
      <c r="X38" s="13"/>
      <c r="Y38" s="10"/>
      <c r="Z38" s="9">
        <v>320</v>
      </c>
    </row>
    <row r="39" spans="1:26" x14ac:dyDescent="0.35">
      <c r="A39" s="4" t="s">
        <v>139</v>
      </c>
      <c r="B39" s="4" t="s">
        <v>15</v>
      </c>
      <c r="C39" s="4" t="s">
        <v>58</v>
      </c>
      <c r="D39" s="4" t="s">
        <v>139</v>
      </c>
      <c r="E39" s="4"/>
      <c r="F39" s="4" t="s">
        <v>140</v>
      </c>
      <c r="G39" s="4" t="s">
        <v>527</v>
      </c>
      <c r="H39" s="4" t="s">
        <v>20</v>
      </c>
      <c r="I39" s="5">
        <v>46229</v>
      </c>
      <c r="J39" s="4">
        <v>60</v>
      </c>
      <c r="K39" s="7">
        <v>59.484896481604032</v>
      </c>
      <c r="L39" s="7">
        <v>95.175834370566463</v>
      </c>
      <c r="M39" s="4">
        <v>1000</v>
      </c>
      <c r="N39" s="4">
        <v>29.82</v>
      </c>
      <c r="O39" s="4">
        <v>28</v>
      </c>
      <c r="P39" s="7">
        <v>1.0649999999999999</v>
      </c>
      <c r="Q39" s="4">
        <v>200</v>
      </c>
      <c r="R39" s="5">
        <v>46216.583333333299</v>
      </c>
      <c r="S39" s="9">
        <v>2.5</v>
      </c>
      <c r="T39" s="10">
        <v>1.96</v>
      </c>
      <c r="U39" s="10"/>
      <c r="V39" s="10"/>
      <c r="W39" s="13"/>
      <c r="X39" s="13"/>
      <c r="Y39" s="10">
        <f>+J39-V39</f>
        <v>60</v>
      </c>
      <c r="Z39" s="10"/>
    </row>
    <row r="40" spans="1:26" x14ac:dyDescent="0.35">
      <c r="A40" s="4" t="s">
        <v>141</v>
      </c>
      <c r="B40" s="4" t="s">
        <v>15</v>
      </c>
      <c r="C40" s="4" t="s">
        <v>32</v>
      </c>
      <c r="D40" s="4" t="s">
        <v>141</v>
      </c>
      <c r="E40" s="4" t="s">
        <v>142</v>
      </c>
      <c r="F40" s="4" t="s">
        <v>63</v>
      </c>
      <c r="G40" s="4" t="s">
        <v>25</v>
      </c>
      <c r="H40" s="4" t="s">
        <v>20</v>
      </c>
      <c r="I40" s="5">
        <v>46229</v>
      </c>
      <c r="J40" s="4">
        <v>150</v>
      </c>
      <c r="K40" s="7">
        <v>229.12093466862086</v>
      </c>
      <c r="L40" s="7">
        <v>366.59349546979342</v>
      </c>
      <c r="M40" s="4" t="s">
        <v>143</v>
      </c>
      <c r="N40" s="4">
        <v>86.2</v>
      </c>
      <c r="O40" s="4">
        <v>28</v>
      </c>
      <c r="P40" s="7">
        <v>3.0785714285714287</v>
      </c>
      <c r="Q40" s="4">
        <v>240</v>
      </c>
      <c r="R40" s="5">
        <v>46210.624305555597</v>
      </c>
      <c r="S40" s="9">
        <v>3.375</v>
      </c>
      <c r="T40" s="10">
        <v>3.46</v>
      </c>
      <c r="U40" s="10"/>
      <c r="V40" s="10"/>
      <c r="W40" s="13"/>
      <c r="X40" s="13"/>
      <c r="Y40" s="10">
        <v>150</v>
      </c>
      <c r="Z40" s="10"/>
    </row>
    <row r="41" spans="1:26" x14ac:dyDescent="0.35">
      <c r="A41" s="4" t="s">
        <v>144</v>
      </c>
      <c r="B41" s="4" t="s">
        <v>15</v>
      </c>
      <c r="C41" s="4" t="s">
        <v>40</v>
      </c>
      <c r="D41" s="4" t="s">
        <v>144</v>
      </c>
      <c r="E41" s="4" t="s">
        <v>145</v>
      </c>
      <c r="F41" s="4" t="s">
        <v>146</v>
      </c>
      <c r="G41" s="4" t="s">
        <v>25</v>
      </c>
      <c r="H41" s="4" t="s">
        <v>20</v>
      </c>
      <c r="I41" s="5">
        <v>46229</v>
      </c>
      <c r="J41" s="4">
        <v>650</v>
      </c>
      <c r="K41" s="7">
        <v>1705.9454462512786</v>
      </c>
      <c r="L41" s="7">
        <v>2729.5127140020459</v>
      </c>
      <c r="M41" s="4">
        <v>1000</v>
      </c>
      <c r="N41" s="4">
        <v>643.79999999999995</v>
      </c>
      <c r="O41" s="4">
        <v>28</v>
      </c>
      <c r="P41" s="7">
        <v>22.99285714285714</v>
      </c>
      <c r="Q41" s="4">
        <v>470</v>
      </c>
      <c r="R41" s="5">
        <v>46225.375</v>
      </c>
      <c r="S41" s="9">
        <v>2.6136363636363638</v>
      </c>
      <c r="T41" s="10">
        <v>5.52</v>
      </c>
      <c r="U41" s="10"/>
      <c r="V41" s="10">
        <v>800</v>
      </c>
      <c r="W41" s="13"/>
      <c r="X41" s="13"/>
      <c r="Y41" s="10"/>
      <c r="Z41" s="10"/>
    </row>
    <row r="42" spans="1:26" x14ac:dyDescent="0.35">
      <c r="A42" s="4" t="s">
        <v>147</v>
      </c>
      <c r="B42" s="4" t="s">
        <v>15</v>
      </c>
      <c r="C42" s="4" t="s">
        <v>27</v>
      </c>
      <c r="D42" s="4" t="s">
        <v>147</v>
      </c>
      <c r="E42" s="4" t="s">
        <v>148</v>
      </c>
      <c r="F42" s="4" t="s">
        <v>149</v>
      </c>
      <c r="G42" s="4" t="s">
        <v>25</v>
      </c>
      <c r="H42" s="4" t="s">
        <v>20</v>
      </c>
      <c r="I42" s="5">
        <v>46229</v>
      </c>
      <c r="J42" s="4">
        <v>200</v>
      </c>
      <c r="K42" s="7">
        <v>55.471844986799319</v>
      </c>
      <c r="L42" s="7">
        <v>88.754951978878921</v>
      </c>
      <c r="M42" s="4">
        <v>1000</v>
      </c>
      <c r="N42" s="4">
        <v>57.91</v>
      </c>
      <c r="O42" s="4">
        <v>28</v>
      </c>
      <c r="P42" s="7">
        <v>2.0682142857142858</v>
      </c>
      <c r="Q42" s="4">
        <v>240</v>
      </c>
      <c r="R42" s="5">
        <v>46225.416666666701</v>
      </c>
      <c r="S42" s="9">
        <v>2.9375</v>
      </c>
      <c r="T42" s="10">
        <v>2</v>
      </c>
      <c r="U42" s="10"/>
      <c r="V42" s="10"/>
      <c r="W42" s="13"/>
      <c r="X42" s="13"/>
      <c r="Y42" s="10"/>
      <c r="Z42" s="9">
        <v>200</v>
      </c>
    </row>
    <row r="43" spans="1:26" x14ac:dyDescent="0.35">
      <c r="A43" s="4" t="s">
        <v>150</v>
      </c>
      <c r="B43" s="4" t="s">
        <v>15</v>
      </c>
      <c r="C43" s="4" t="s">
        <v>16</v>
      </c>
      <c r="D43" s="4" t="s">
        <v>150</v>
      </c>
      <c r="E43" s="4" t="s">
        <v>151</v>
      </c>
      <c r="F43" s="4" t="s">
        <v>152</v>
      </c>
      <c r="G43" s="4" t="s">
        <v>25</v>
      </c>
      <c r="H43" s="4" t="s">
        <v>20</v>
      </c>
      <c r="I43" s="5">
        <v>46229</v>
      </c>
      <c r="J43" s="4">
        <v>100</v>
      </c>
      <c r="K43" s="7">
        <v>115.00130189040694</v>
      </c>
      <c r="L43" s="7">
        <v>184.00208302465111</v>
      </c>
      <c r="M43" s="4">
        <v>600</v>
      </c>
      <c r="N43" s="4">
        <v>12.13</v>
      </c>
      <c r="O43" s="4">
        <v>28</v>
      </c>
      <c r="P43" s="7">
        <v>0.43321428571428572</v>
      </c>
      <c r="Q43" s="4">
        <v>140</v>
      </c>
      <c r="R43" s="5">
        <v>46223.416666666701</v>
      </c>
      <c r="S43" s="9">
        <v>3</v>
      </c>
      <c r="T43" s="10">
        <v>3.46</v>
      </c>
      <c r="U43" s="10"/>
      <c r="V43" s="10"/>
      <c r="W43" s="13"/>
      <c r="X43" s="13"/>
      <c r="Y43" s="10"/>
      <c r="Z43" s="9">
        <v>100</v>
      </c>
    </row>
    <row r="44" spans="1:26" x14ac:dyDescent="0.35">
      <c r="A44" s="4" t="s">
        <v>153</v>
      </c>
      <c r="B44" s="4" t="s">
        <v>15</v>
      </c>
      <c r="C44" s="4" t="s">
        <v>32</v>
      </c>
      <c r="D44" s="4" t="s">
        <v>153</v>
      </c>
      <c r="E44" s="4" t="s">
        <v>154</v>
      </c>
      <c r="F44" s="4" t="s">
        <v>155</v>
      </c>
      <c r="G44" s="4" t="s">
        <v>25</v>
      </c>
      <c r="H44" s="4" t="s">
        <v>20</v>
      </c>
      <c r="I44" s="5">
        <v>46229</v>
      </c>
      <c r="J44" s="4">
        <v>40</v>
      </c>
      <c r="K44" s="7">
        <v>21.461672783958317</v>
      </c>
      <c r="L44" s="7">
        <v>34.33867645433331</v>
      </c>
      <c r="M44" s="4">
        <v>60</v>
      </c>
      <c r="N44" s="4">
        <v>7.98</v>
      </c>
      <c r="O44" s="4">
        <v>28</v>
      </c>
      <c r="P44" s="7">
        <v>0.28500000000000003</v>
      </c>
      <c r="Q44" s="4">
        <v>18</v>
      </c>
      <c r="R44" s="5">
        <v>46223.631944444503</v>
      </c>
      <c r="S44" s="9">
        <v>2</v>
      </c>
      <c r="T44" s="10">
        <v>1.96</v>
      </c>
      <c r="U44" s="10"/>
      <c r="V44" s="10"/>
      <c r="W44" s="13"/>
      <c r="X44" s="13"/>
      <c r="Y44" s="10">
        <v>40</v>
      </c>
      <c r="Z44" s="10"/>
    </row>
    <row r="45" spans="1:26" x14ac:dyDescent="0.35">
      <c r="A45" s="4" t="s">
        <v>156</v>
      </c>
      <c r="B45" s="4" t="s">
        <v>15</v>
      </c>
      <c r="C45" s="4" t="s">
        <v>16</v>
      </c>
      <c r="D45" s="4" t="s">
        <v>156</v>
      </c>
      <c r="E45" s="4" t="s">
        <v>157</v>
      </c>
      <c r="F45" s="4" t="s">
        <v>158</v>
      </c>
      <c r="G45" s="4" t="s">
        <v>25</v>
      </c>
      <c r="H45" s="4" t="s">
        <v>20</v>
      </c>
      <c r="I45" s="5">
        <v>46229</v>
      </c>
      <c r="J45" s="4">
        <v>750</v>
      </c>
      <c r="K45" s="7">
        <v>613.11152959620642</v>
      </c>
      <c r="L45" s="7">
        <v>980.97844735393028</v>
      </c>
      <c r="M45" s="4">
        <v>1000</v>
      </c>
      <c r="N45" s="4">
        <v>667.76</v>
      </c>
      <c r="O45" s="4">
        <v>28</v>
      </c>
      <c r="P45" s="7">
        <v>23.848571428571429</v>
      </c>
      <c r="Q45" s="4">
        <v>338</v>
      </c>
      <c r="R45" s="5">
        <v>46224.541666666701</v>
      </c>
      <c r="S45" s="9" t="s">
        <v>530</v>
      </c>
      <c r="T45" s="10">
        <v>2</v>
      </c>
      <c r="U45" s="10"/>
      <c r="V45" s="10">
        <v>100</v>
      </c>
      <c r="W45" s="13"/>
      <c r="X45" s="13"/>
      <c r="Y45" s="10">
        <v>200</v>
      </c>
      <c r="Z45" s="9">
        <v>650</v>
      </c>
    </row>
    <row r="46" spans="1:26" x14ac:dyDescent="0.35">
      <c r="A46" s="4" t="s">
        <v>159</v>
      </c>
      <c r="B46" s="4" t="s">
        <v>15</v>
      </c>
      <c r="C46" s="4" t="s">
        <v>16</v>
      </c>
      <c r="D46" s="4" t="s">
        <v>159</v>
      </c>
      <c r="E46" s="4" t="s">
        <v>160</v>
      </c>
      <c r="F46" s="4" t="s">
        <v>161</v>
      </c>
      <c r="G46" s="4" t="s">
        <v>19</v>
      </c>
      <c r="H46" s="4" t="s">
        <v>20</v>
      </c>
      <c r="I46" s="5">
        <v>46229</v>
      </c>
      <c r="J46" s="4">
        <v>800</v>
      </c>
      <c r="K46" s="7">
        <v>806.61550991228933</v>
      </c>
      <c r="L46" s="7">
        <v>1290.584815859663</v>
      </c>
      <c r="M46" s="4">
        <v>1000</v>
      </c>
      <c r="N46" s="4">
        <v>271.16000000000003</v>
      </c>
      <c r="O46" s="4">
        <v>28</v>
      </c>
      <c r="P46" s="7">
        <v>9.6842857142857159</v>
      </c>
      <c r="Q46" s="4">
        <v>361</v>
      </c>
      <c r="R46" s="5">
        <v>46224.75</v>
      </c>
      <c r="S46" s="9">
        <v>2.5</v>
      </c>
      <c r="T46" s="10">
        <v>2.61</v>
      </c>
      <c r="U46" s="10" t="s">
        <v>536</v>
      </c>
      <c r="V46" s="10">
        <v>200</v>
      </c>
      <c r="W46" s="13"/>
      <c r="X46" s="13"/>
      <c r="Y46" s="10">
        <v>500</v>
      </c>
      <c r="Z46" s="9">
        <v>600</v>
      </c>
    </row>
    <row r="47" spans="1:26" x14ac:dyDescent="0.35">
      <c r="A47" s="4" t="s">
        <v>162</v>
      </c>
      <c r="B47" s="4" t="s">
        <v>15</v>
      </c>
      <c r="C47" s="4" t="s">
        <v>40</v>
      </c>
      <c r="D47" s="4" t="s">
        <v>162</v>
      </c>
      <c r="E47" s="4" t="s">
        <v>163</v>
      </c>
      <c r="F47" s="4" t="s">
        <v>164</v>
      </c>
      <c r="G47" s="4" t="s">
        <v>25</v>
      </c>
      <c r="H47" s="4" t="s">
        <v>20</v>
      </c>
      <c r="I47" s="5">
        <v>46229</v>
      </c>
      <c r="J47" s="4">
        <v>50</v>
      </c>
      <c r="K47" s="7">
        <v>127.15113871334584</v>
      </c>
      <c r="L47" s="7">
        <v>203.44182194135337</v>
      </c>
      <c r="M47" s="4">
        <v>210</v>
      </c>
      <c r="N47" s="4">
        <v>33.36</v>
      </c>
      <c r="O47" s="4">
        <v>28</v>
      </c>
      <c r="P47" s="7">
        <v>1.1914285714285715</v>
      </c>
      <c r="Q47" s="4">
        <v>174</v>
      </c>
      <c r="R47" s="5">
        <v>46213.726388888899</v>
      </c>
      <c r="S47" s="9">
        <v>4</v>
      </c>
      <c r="T47" s="10">
        <v>4.34</v>
      </c>
      <c r="U47" s="10"/>
      <c r="V47" s="10"/>
      <c r="W47" s="13"/>
      <c r="X47" s="13"/>
      <c r="Y47" s="10">
        <v>50</v>
      </c>
      <c r="Z47" s="10"/>
    </row>
    <row r="48" spans="1:26" x14ac:dyDescent="0.35">
      <c r="A48" s="4" t="s">
        <v>165</v>
      </c>
      <c r="B48" s="4" t="s">
        <v>15</v>
      </c>
      <c r="C48" s="4" t="s">
        <v>27</v>
      </c>
      <c r="D48" s="4" t="s">
        <v>165</v>
      </c>
      <c r="E48" s="4" t="s">
        <v>166</v>
      </c>
      <c r="F48" s="4" t="s">
        <v>167</v>
      </c>
      <c r="G48" s="4" t="s">
        <v>19</v>
      </c>
      <c r="H48" s="4" t="s">
        <v>20</v>
      </c>
      <c r="I48" s="5">
        <v>46229</v>
      </c>
      <c r="J48" s="4">
        <v>700</v>
      </c>
      <c r="K48" s="7">
        <v>591.05446847080555</v>
      </c>
      <c r="L48" s="7">
        <v>945.68714955328892</v>
      </c>
      <c r="M48" s="4">
        <v>1500</v>
      </c>
      <c r="N48" s="4">
        <v>466.11</v>
      </c>
      <c r="O48" s="4">
        <v>28</v>
      </c>
      <c r="P48" s="7">
        <v>16.646785714285716</v>
      </c>
      <c r="Q48" s="4">
        <v>460</v>
      </c>
      <c r="R48" s="5">
        <v>46224.416666666701</v>
      </c>
      <c r="S48" s="9">
        <v>2.807017543859649</v>
      </c>
      <c r="T48" s="10">
        <v>2.61</v>
      </c>
      <c r="U48" s="10" t="s">
        <v>538</v>
      </c>
      <c r="V48" s="10"/>
      <c r="W48" s="13"/>
      <c r="X48" s="13"/>
      <c r="Y48" s="10"/>
      <c r="Z48" s="9">
        <v>700</v>
      </c>
    </row>
    <row r="49" spans="1:26" x14ac:dyDescent="0.35">
      <c r="A49" s="4" t="s">
        <v>168</v>
      </c>
      <c r="B49" s="4" t="s">
        <v>15</v>
      </c>
      <c r="C49" s="4" t="s">
        <v>40</v>
      </c>
      <c r="D49" s="4" t="s">
        <v>168</v>
      </c>
      <c r="E49" s="4" t="s">
        <v>169</v>
      </c>
      <c r="F49" s="4" t="s">
        <v>170</v>
      </c>
      <c r="G49" s="4" t="s">
        <v>25</v>
      </c>
      <c r="H49" s="4" t="s">
        <v>43</v>
      </c>
      <c r="I49" s="5">
        <v>46229</v>
      </c>
      <c r="J49" s="4">
        <v>600</v>
      </c>
      <c r="K49" s="7">
        <v>1249.6292257502002</v>
      </c>
      <c r="L49" s="7">
        <v>1999.4067612003205</v>
      </c>
      <c r="M49" s="4">
        <v>1000</v>
      </c>
      <c r="N49" s="4">
        <v>545.07000000000005</v>
      </c>
      <c r="O49" s="4">
        <v>28</v>
      </c>
      <c r="P49" s="7">
        <v>19.466785714285717</v>
      </c>
      <c r="Q49" s="4">
        <v>450</v>
      </c>
      <c r="R49" s="5">
        <v>46225.833333333299</v>
      </c>
      <c r="S49" s="9">
        <v>4.2592592592592595</v>
      </c>
      <c r="T49" s="10">
        <v>4.03</v>
      </c>
      <c r="U49" s="10"/>
      <c r="V49" s="10">
        <v>800</v>
      </c>
      <c r="W49" s="13"/>
      <c r="X49" s="13"/>
      <c r="Y49" s="10"/>
      <c r="Z49" s="10"/>
    </row>
    <row r="50" spans="1:26" x14ac:dyDescent="0.35">
      <c r="A50" s="4" t="s">
        <v>171</v>
      </c>
      <c r="B50" s="4" t="s">
        <v>15</v>
      </c>
      <c r="C50" s="4" t="s">
        <v>22</v>
      </c>
      <c r="D50" s="4" t="s">
        <v>171</v>
      </c>
      <c r="E50" s="4" t="s">
        <v>172</v>
      </c>
      <c r="F50" s="4" t="s">
        <v>173</v>
      </c>
      <c r="G50" s="4" t="s">
        <v>25</v>
      </c>
      <c r="H50" s="4" t="s">
        <v>20</v>
      </c>
      <c r="I50" s="5">
        <v>46229</v>
      </c>
      <c r="J50" s="4">
        <v>75</v>
      </c>
      <c r="K50" s="7">
        <v>182.38985820790393</v>
      </c>
      <c r="L50" s="7">
        <v>291.82377313264629</v>
      </c>
      <c r="M50" s="4">
        <v>150</v>
      </c>
      <c r="N50" s="4">
        <v>21.25</v>
      </c>
      <c r="O50" s="4">
        <v>28</v>
      </c>
      <c r="P50" s="7">
        <v>0.7589285714285714</v>
      </c>
      <c r="Q50" s="4">
        <v>100</v>
      </c>
      <c r="R50" s="5">
        <v>46224.486111111102</v>
      </c>
      <c r="S50" s="9">
        <v>5.5</v>
      </c>
      <c r="T50" s="10">
        <v>4.34</v>
      </c>
      <c r="U50" s="10" t="s">
        <v>548</v>
      </c>
      <c r="V50" s="10"/>
      <c r="W50" s="13">
        <v>65</v>
      </c>
      <c r="X50" s="13"/>
      <c r="Y50" s="10"/>
      <c r="Z50" s="10"/>
    </row>
    <row r="51" spans="1:26" x14ac:dyDescent="0.35">
      <c r="A51" s="4"/>
      <c r="B51" s="4" t="s">
        <v>15</v>
      </c>
      <c r="C51" s="4" t="s">
        <v>16</v>
      </c>
      <c r="D51" s="4" t="s">
        <v>522</v>
      </c>
      <c r="E51" s="4"/>
      <c r="F51" s="4" t="s">
        <v>174</v>
      </c>
      <c r="G51" s="4" t="s">
        <v>30</v>
      </c>
      <c r="H51" s="4" t="s">
        <v>20</v>
      </c>
      <c r="I51" s="5">
        <v>46229</v>
      </c>
      <c r="J51" s="4">
        <v>30</v>
      </c>
      <c r="K51" s="7">
        <v>21.461672783958317</v>
      </c>
      <c r="L51" s="7">
        <v>34</v>
      </c>
      <c r="M51" s="4">
        <v>500</v>
      </c>
      <c r="N51" s="4">
        <v>0</v>
      </c>
      <c r="O51" s="4">
        <v>28</v>
      </c>
      <c r="P51" s="7">
        <v>0</v>
      </c>
      <c r="Q51" s="4">
        <v>147</v>
      </c>
      <c r="R51" s="5">
        <v>46229</v>
      </c>
      <c r="S51" s="9" t="s">
        <v>530</v>
      </c>
      <c r="T51" s="10">
        <v>1.92</v>
      </c>
      <c r="U51" s="10"/>
      <c r="V51" s="10"/>
      <c r="W51" s="13"/>
      <c r="X51" s="13"/>
      <c r="Y51" s="10"/>
      <c r="Z51" s="9">
        <v>30</v>
      </c>
    </row>
    <row r="52" spans="1:26" x14ac:dyDescent="0.35">
      <c r="A52" s="4" t="s">
        <v>175</v>
      </c>
      <c r="B52" s="4" t="s">
        <v>15</v>
      </c>
      <c r="C52" s="4" t="s">
        <v>40</v>
      </c>
      <c r="D52" s="4" t="s">
        <v>175</v>
      </c>
      <c r="E52" s="4"/>
      <c r="F52" s="4" t="s">
        <v>176</v>
      </c>
      <c r="G52" s="4" t="s">
        <v>25</v>
      </c>
      <c r="H52" s="4" t="s">
        <v>20</v>
      </c>
      <c r="I52" s="5">
        <v>46229</v>
      </c>
      <c r="J52" s="4">
        <v>250</v>
      </c>
      <c r="K52" s="7">
        <v>184.19187644669771</v>
      </c>
      <c r="L52" s="7">
        <v>294.70700231471636</v>
      </c>
      <c r="M52" s="4">
        <v>1000</v>
      </c>
      <c r="N52" s="4">
        <v>151.52000000000001</v>
      </c>
      <c r="O52" s="4">
        <v>28</v>
      </c>
      <c r="P52" s="7">
        <v>5.4114285714285719</v>
      </c>
      <c r="Q52" s="4">
        <v>230</v>
      </c>
      <c r="R52" s="5">
        <v>46220.625</v>
      </c>
      <c r="S52" s="9">
        <v>4.2</v>
      </c>
      <c r="T52" s="10">
        <v>1.96</v>
      </c>
      <c r="U52" s="10"/>
      <c r="V52" s="10"/>
      <c r="W52" s="13">
        <v>100</v>
      </c>
      <c r="X52" s="13"/>
      <c r="Y52" s="10">
        <v>150</v>
      </c>
      <c r="Z52" s="10"/>
    </row>
    <row r="53" spans="1:26" x14ac:dyDescent="0.35">
      <c r="A53" s="4" t="s">
        <v>177</v>
      </c>
      <c r="B53" s="4" t="s">
        <v>15</v>
      </c>
      <c r="C53" s="4" t="s">
        <v>16</v>
      </c>
      <c r="D53" s="4" t="s">
        <v>177</v>
      </c>
      <c r="E53" s="4" t="s">
        <v>178</v>
      </c>
      <c r="F53" s="4" t="s">
        <v>179</v>
      </c>
      <c r="G53" s="4" t="s">
        <v>49</v>
      </c>
      <c r="H53" s="4" t="s">
        <v>20</v>
      </c>
      <c r="I53" s="5">
        <v>46229</v>
      </c>
      <c r="J53" s="4">
        <v>450</v>
      </c>
      <c r="K53" s="7">
        <v>1022.9491715745891</v>
      </c>
      <c r="L53" s="7">
        <v>1636.7186745193426</v>
      </c>
      <c r="M53" s="4">
        <v>500</v>
      </c>
      <c r="N53" s="4">
        <v>644.6</v>
      </c>
      <c r="O53" s="4">
        <v>28</v>
      </c>
      <c r="P53" s="7">
        <v>23.021428571428572</v>
      </c>
      <c r="Q53" s="4">
        <v>332</v>
      </c>
      <c r="R53" s="5">
        <v>46223.333333333299</v>
      </c>
      <c r="S53" s="9">
        <v>2.4750000000000001</v>
      </c>
      <c r="T53" s="10">
        <v>3.31</v>
      </c>
      <c r="U53" s="10"/>
      <c r="V53" s="10">
        <v>50</v>
      </c>
      <c r="W53" s="13"/>
      <c r="X53" s="13">
        <v>100</v>
      </c>
      <c r="Y53" s="10"/>
      <c r="Z53" s="9">
        <v>300</v>
      </c>
    </row>
    <row r="54" spans="1:26" x14ac:dyDescent="0.35">
      <c r="A54" s="4" t="s">
        <v>180</v>
      </c>
      <c r="B54" s="4" t="s">
        <v>15</v>
      </c>
      <c r="C54" s="4" t="s">
        <v>136</v>
      </c>
      <c r="D54" s="4" t="s">
        <v>180</v>
      </c>
      <c r="E54" s="4" t="s">
        <v>181</v>
      </c>
      <c r="F54" s="4" t="s">
        <v>182</v>
      </c>
      <c r="G54" s="4" t="s">
        <v>25</v>
      </c>
      <c r="H54" s="4" t="s">
        <v>20</v>
      </c>
      <c r="I54" s="5">
        <v>46229</v>
      </c>
      <c r="J54" s="4">
        <v>750</v>
      </c>
      <c r="K54" s="7">
        <v>756.53031429680516</v>
      </c>
      <c r="L54" s="7">
        <v>1210.4485028748884</v>
      </c>
      <c r="M54" s="4">
        <v>1000</v>
      </c>
      <c r="N54" s="4">
        <v>431.82</v>
      </c>
      <c r="O54" s="4">
        <v>28</v>
      </c>
      <c r="P54" s="7">
        <v>15.422142857142857</v>
      </c>
      <c r="Q54" s="4">
        <v>47</v>
      </c>
      <c r="R54" s="5">
        <v>46224.444444444503</v>
      </c>
      <c r="S54" s="9">
        <v>2.4</v>
      </c>
      <c r="T54" s="10">
        <v>2.61</v>
      </c>
      <c r="U54" s="10"/>
      <c r="V54" s="10"/>
      <c r="W54" s="13"/>
      <c r="X54" s="13"/>
      <c r="Y54" s="10"/>
      <c r="Z54" s="9">
        <v>750</v>
      </c>
    </row>
    <row r="55" spans="1:26" x14ac:dyDescent="0.35">
      <c r="A55" s="4" t="s">
        <v>183</v>
      </c>
      <c r="B55" s="4" t="s">
        <v>15</v>
      </c>
      <c r="C55" s="4" t="s">
        <v>32</v>
      </c>
      <c r="D55" s="4" t="s">
        <v>183</v>
      </c>
      <c r="E55" s="4" t="s">
        <v>184</v>
      </c>
      <c r="F55" s="4" t="s">
        <v>185</v>
      </c>
      <c r="G55" s="4" t="s">
        <v>25</v>
      </c>
      <c r="H55" s="4" t="s">
        <v>20</v>
      </c>
      <c r="I55" s="5">
        <v>46229</v>
      </c>
      <c r="J55" s="4">
        <v>160</v>
      </c>
      <c r="K55" s="7">
        <v>159.38622639613433</v>
      </c>
      <c r="L55" s="7">
        <v>255.01796223381496</v>
      </c>
      <c r="M55" s="4">
        <v>600</v>
      </c>
      <c r="N55" s="4">
        <v>50.07</v>
      </c>
      <c r="O55" s="4">
        <v>28</v>
      </c>
      <c r="P55" s="7">
        <v>1.7882142857142858</v>
      </c>
      <c r="Q55" s="4">
        <v>181</v>
      </c>
      <c r="R55" s="5">
        <v>46224.75</v>
      </c>
      <c r="S55" s="9">
        <v>2.4</v>
      </c>
      <c r="T55" s="10">
        <v>1.96</v>
      </c>
      <c r="U55" s="10"/>
      <c r="V55" s="10"/>
      <c r="W55" s="13"/>
      <c r="X55" s="13"/>
      <c r="Y55" s="10">
        <v>160</v>
      </c>
      <c r="Z55" s="10"/>
    </row>
    <row r="56" spans="1:26" x14ac:dyDescent="0.35">
      <c r="A56" s="4" t="s">
        <v>186</v>
      </c>
      <c r="B56" s="4" t="s">
        <v>15</v>
      </c>
      <c r="C56" s="4" t="s">
        <v>32</v>
      </c>
      <c r="D56" s="4" t="s">
        <v>186</v>
      </c>
      <c r="E56" s="4" t="s">
        <v>187</v>
      </c>
      <c r="F56" s="4" t="s">
        <v>188</v>
      </c>
      <c r="G56" s="4" t="s">
        <v>25</v>
      </c>
      <c r="H56" s="4" t="s">
        <v>20</v>
      </c>
      <c r="I56" s="5">
        <v>46229</v>
      </c>
      <c r="J56" s="4">
        <v>120</v>
      </c>
      <c r="K56" s="7">
        <v>42.452622569756137</v>
      </c>
      <c r="L56" s="7">
        <v>67.924196111609817</v>
      </c>
      <c r="M56" s="4">
        <v>700</v>
      </c>
      <c r="N56" s="4">
        <v>7.16</v>
      </c>
      <c r="O56" s="4">
        <v>28</v>
      </c>
      <c r="P56" s="7">
        <v>0.25571428571428573</v>
      </c>
      <c r="Q56" s="4">
        <v>50</v>
      </c>
      <c r="R56" s="5">
        <v>46210.666666666701</v>
      </c>
      <c r="S56" s="9" t="s">
        <v>530</v>
      </c>
      <c r="T56" s="10">
        <v>1.96</v>
      </c>
      <c r="U56" s="10"/>
      <c r="V56" s="10"/>
      <c r="W56" s="13"/>
      <c r="X56" s="13"/>
      <c r="Y56" s="10">
        <v>120</v>
      </c>
      <c r="Z56" s="10"/>
    </row>
    <row r="57" spans="1:26" x14ac:dyDescent="0.35">
      <c r="A57" s="4" t="s">
        <v>189</v>
      </c>
      <c r="B57" s="4" t="s">
        <v>15</v>
      </c>
      <c r="C57" s="4" t="s">
        <v>32</v>
      </c>
      <c r="D57" s="4" t="s">
        <v>189</v>
      </c>
      <c r="E57" s="4" t="s">
        <v>190</v>
      </c>
      <c r="F57" s="4" t="s">
        <v>191</v>
      </c>
      <c r="G57" s="4" t="s">
        <v>25</v>
      </c>
      <c r="H57" s="4" t="s">
        <v>53</v>
      </c>
      <c r="I57" s="5">
        <v>46229</v>
      </c>
      <c r="J57" s="4">
        <v>105</v>
      </c>
      <c r="K57" s="7">
        <v>107.30836391979157</v>
      </c>
      <c r="L57" s="7">
        <v>171.69338227166654</v>
      </c>
      <c r="M57" s="4">
        <v>800</v>
      </c>
      <c r="N57" s="4">
        <v>20.32</v>
      </c>
      <c r="O57" s="4">
        <v>28</v>
      </c>
      <c r="P57" s="7">
        <v>0.72571428571428576</v>
      </c>
      <c r="Q57" s="4">
        <v>174</v>
      </c>
      <c r="R57" s="5">
        <v>46223.511111111096</v>
      </c>
      <c r="S57" s="9">
        <v>4</v>
      </c>
      <c r="T57" s="10">
        <v>3.6</v>
      </c>
      <c r="U57" s="10"/>
      <c r="V57" s="10"/>
      <c r="W57" s="13">
        <f t="shared" si="0"/>
        <v>105</v>
      </c>
      <c r="X57" s="13"/>
      <c r="Y57" s="10"/>
      <c r="Z57" s="10"/>
    </row>
    <row r="58" spans="1:26" x14ac:dyDescent="0.35">
      <c r="A58" s="4" t="s">
        <v>192</v>
      </c>
      <c r="B58" s="4" t="s">
        <v>15</v>
      </c>
      <c r="C58" s="4" t="s">
        <v>16</v>
      </c>
      <c r="D58" s="4" t="s">
        <v>192</v>
      </c>
      <c r="E58" s="4" t="s">
        <v>193</v>
      </c>
      <c r="F58" s="4" t="s">
        <v>194</v>
      </c>
      <c r="G58" s="4" t="s">
        <v>30</v>
      </c>
      <c r="H58" s="4" t="s">
        <v>53</v>
      </c>
      <c r="I58" s="5">
        <v>46229</v>
      </c>
      <c r="J58" s="4">
        <v>900</v>
      </c>
      <c r="K58" s="7">
        <v>709.99731816290387</v>
      </c>
      <c r="L58" s="7">
        <v>1135.9957090606463</v>
      </c>
      <c r="M58" s="4">
        <v>1200</v>
      </c>
      <c r="N58" s="4">
        <v>425.02</v>
      </c>
      <c r="O58" s="4">
        <v>28</v>
      </c>
      <c r="P58" s="7">
        <v>15.179285714285713</v>
      </c>
      <c r="Q58" s="4">
        <v>558</v>
      </c>
      <c r="R58" s="5">
        <v>46220.583333333299</v>
      </c>
      <c r="S58" s="9">
        <v>4.0666666666666664</v>
      </c>
      <c r="T58" s="10">
        <v>3.6</v>
      </c>
      <c r="U58" s="10"/>
      <c r="V58" s="10">
        <v>250</v>
      </c>
      <c r="W58" s="13"/>
      <c r="X58" s="13">
        <v>250</v>
      </c>
      <c r="Y58" s="10"/>
      <c r="Z58" s="9">
        <v>400</v>
      </c>
    </row>
    <row r="59" spans="1:26" x14ac:dyDescent="0.35">
      <c r="A59" s="4" t="s">
        <v>195</v>
      </c>
      <c r="B59" s="4" t="s">
        <v>15</v>
      </c>
      <c r="C59" s="4" t="s">
        <v>58</v>
      </c>
      <c r="D59" s="4" t="s">
        <v>195</v>
      </c>
      <c r="E59" s="4" t="s">
        <v>196</v>
      </c>
      <c r="F59" s="4" t="s">
        <v>197</v>
      </c>
      <c r="G59" s="4" t="s">
        <v>25</v>
      </c>
      <c r="H59" s="4" t="s">
        <v>53</v>
      </c>
      <c r="I59" s="5">
        <v>46229</v>
      </c>
      <c r="J59" s="4">
        <v>65</v>
      </c>
      <c r="K59" s="7">
        <v>64.591050410600985</v>
      </c>
      <c r="L59" s="7">
        <v>103.34568065696158</v>
      </c>
      <c r="M59" s="4">
        <v>600</v>
      </c>
      <c r="N59" s="4" t="e">
        <v>#N/A</v>
      </c>
      <c r="O59" s="4">
        <v>28</v>
      </c>
      <c r="P59" s="7" t="e">
        <v>#N/A</v>
      </c>
      <c r="Q59" s="4">
        <v>115</v>
      </c>
      <c r="R59" s="5">
        <v>46225.458333333299</v>
      </c>
      <c r="S59" s="9">
        <v>3.6</v>
      </c>
      <c r="T59" s="10">
        <v>4.18</v>
      </c>
      <c r="U59" s="10"/>
      <c r="V59" s="10"/>
      <c r="W59" s="13">
        <f t="shared" si="0"/>
        <v>65</v>
      </c>
      <c r="X59" s="13"/>
      <c r="Y59" s="10"/>
      <c r="Z59" s="10"/>
    </row>
    <row r="60" spans="1:26" x14ac:dyDescent="0.35">
      <c r="A60" s="4" t="s">
        <v>198</v>
      </c>
      <c r="B60" s="4" t="s">
        <v>15</v>
      </c>
      <c r="C60" s="4" t="s">
        <v>32</v>
      </c>
      <c r="D60" s="4" t="s">
        <v>198</v>
      </c>
      <c r="E60" s="4" t="s">
        <v>199</v>
      </c>
      <c r="F60" s="4" t="s">
        <v>200</v>
      </c>
      <c r="G60" s="4" t="s">
        <v>25</v>
      </c>
      <c r="H60" s="4" t="s">
        <v>67</v>
      </c>
      <c r="I60" s="5">
        <v>46229</v>
      </c>
      <c r="J60" s="4">
        <v>100</v>
      </c>
      <c r="K60" s="7">
        <v>107.30836391979157</v>
      </c>
      <c r="L60" s="7">
        <v>171.69338227166654</v>
      </c>
      <c r="M60" s="4">
        <v>1000</v>
      </c>
      <c r="N60" s="4">
        <v>7.0000000000000007E-2</v>
      </c>
      <c r="O60" s="4">
        <v>28</v>
      </c>
      <c r="P60" s="7">
        <v>2.5000000000000001E-3</v>
      </c>
      <c r="Q60" s="4">
        <v>320</v>
      </c>
      <c r="R60" s="5">
        <v>46223.375</v>
      </c>
      <c r="S60" s="9">
        <v>5</v>
      </c>
      <c r="T60" s="10">
        <v>4.34</v>
      </c>
      <c r="U60" s="10"/>
      <c r="V60" s="10"/>
      <c r="W60" s="13">
        <f t="shared" si="0"/>
        <v>100</v>
      </c>
      <c r="X60" s="13"/>
      <c r="Y60" s="10"/>
      <c r="Z60" s="10"/>
    </row>
    <row r="61" spans="1:26" x14ac:dyDescent="0.35">
      <c r="A61" s="4" t="s">
        <v>201</v>
      </c>
      <c r="B61" s="4" t="s">
        <v>15</v>
      </c>
      <c r="C61" s="4" t="s">
        <v>136</v>
      </c>
      <c r="D61" s="4" t="s">
        <v>201</v>
      </c>
      <c r="E61" s="4" t="s">
        <v>202</v>
      </c>
      <c r="F61" s="4" t="s">
        <v>203</v>
      </c>
      <c r="G61" s="4" t="s">
        <v>25</v>
      </c>
      <c r="H61" s="4" t="s">
        <v>20</v>
      </c>
      <c r="I61" s="5">
        <v>46229</v>
      </c>
      <c r="J61" s="4">
        <v>340</v>
      </c>
      <c r="K61" s="7">
        <v>340.07142998616206</v>
      </c>
      <c r="L61" s="7">
        <v>544.11428797785936</v>
      </c>
      <c r="M61" s="4">
        <v>1000</v>
      </c>
      <c r="N61" s="4">
        <v>218.29</v>
      </c>
      <c r="O61" s="4">
        <v>28</v>
      </c>
      <c r="P61" s="7">
        <v>7.7960714285714285</v>
      </c>
      <c r="Q61" s="4">
        <v>273</v>
      </c>
      <c r="R61" s="5">
        <v>46224.538194444503</v>
      </c>
      <c r="S61" s="9">
        <v>3</v>
      </c>
      <c r="T61" s="10">
        <v>2.09</v>
      </c>
      <c r="U61" s="10"/>
      <c r="V61" s="10">
        <v>200</v>
      </c>
      <c r="W61" s="13"/>
      <c r="X61" s="13"/>
      <c r="Y61" s="10"/>
      <c r="Z61" s="9">
        <v>140</v>
      </c>
    </row>
    <row r="62" spans="1:26" x14ac:dyDescent="0.35">
      <c r="A62" s="4" t="s">
        <v>204</v>
      </c>
      <c r="B62" s="4" t="s">
        <v>15</v>
      </c>
      <c r="C62" s="4" t="s">
        <v>22</v>
      </c>
      <c r="D62" s="4" t="s">
        <v>204</v>
      </c>
      <c r="E62" s="4" t="s">
        <v>205</v>
      </c>
      <c r="F62" s="4" t="s">
        <v>206</v>
      </c>
      <c r="G62" s="4" t="s">
        <v>25</v>
      </c>
      <c r="H62" s="4" t="s">
        <v>20</v>
      </c>
      <c r="I62" s="5">
        <v>46229</v>
      </c>
      <c r="J62" s="4">
        <v>100</v>
      </c>
      <c r="K62" s="7">
        <v>35.055200489997119</v>
      </c>
      <c r="L62" s="7">
        <v>56.088320783995393</v>
      </c>
      <c r="M62" s="4">
        <v>500</v>
      </c>
      <c r="N62" s="4">
        <v>4.7300000000000004</v>
      </c>
      <c r="O62" s="4">
        <v>28</v>
      </c>
      <c r="P62" s="7">
        <v>0.16892857142857146</v>
      </c>
      <c r="Q62" s="4">
        <v>277</v>
      </c>
      <c r="R62" s="5">
        <v>46207.3125</v>
      </c>
      <c r="S62" s="9">
        <v>3</v>
      </c>
      <c r="T62" s="10">
        <v>2.66</v>
      </c>
      <c r="U62" s="10"/>
      <c r="V62" s="10"/>
      <c r="W62" s="13"/>
      <c r="X62" s="13"/>
      <c r="Y62" s="10">
        <v>100</v>
      </c>
      <c r="Z62" s="10"/>
    </row>
    <row r="63" spans="1:26" x14ac:dyDescent="0.35">
      <c r="A63" s="4" t="s">
        <v>207</v>
      </c>
      <c r="B63" s="4" t="s">
        <v>15</v>
      </c>
      <c r="C63" s="4" t="s">
        <v>22</v>
      </c>
      <c r="D63" s="4" t="s">
        <v>207</v>
      </c>
      <c r="E63" s="4" t="s">
        <v>208</v>
      </c>
      <c r="F63" s="4" t="s">
        <v>209</v>
      </c>
      <c r="G63" s="4" t="s">
        <v>25</v>
      </c>
      <c r="H63" s="4" t="s">
        <v>20</v>
      </c>
      <c r="I63" s="5">
        <v>46229</v>
      </c>
      <c r="J63" s="4">
        <v>100</v>
      </c>
      <c r="K63" s="7">
        <v>108.28966601203939</v>
      </c>
      <c r="L63" s="7">
        <v>173.26346561926303</v>
      </c>
      <c r="M63" s="4">
        <v>500</v>
      </c>
      <c r="N63" s="4">
        <v>13.73</v>
      </c>
      <c r="O63" s="4">
        <v>28</v>
      </c>
      <c r="P63" s="7">
        <v>0.49035714285714288</v>
      </c>
      <c r="Q63" s="4">
        <v>190</v>
      </c>
      <c r="R63" s="5">
        <v>46224.604166666701</v>
      </c>
      <c r="S63" s="9">
        <v>2.5</v>
      </c>
      <c r="T63" s="10">
        <v>2.2999999999999998</v>
      </c>
      <c r="U63" s="10"/>
      <c r="V63" s="10"/>
      <c r="W63" s="13"/>
      <c r="X63" s="13"/>
      <c r="Y63" s="10">
        <v>100</v>
      </c>
      <c r="Z63" s="10"/>
    </row>
    <row r="64" spans="1:26" x14ac:dyDescent="0.35">
      <c r="A64" s="4" t="s">
        <v>210</v>
      </c>
      <c r="B64" s="4" t="s">
        <v>15</v>
      </c>
      <c r="C64" s="4" t="s">
        <v>58</v>
      </c>
      <c r="D64" s="4" t="s">
        <v>210</v>
      </c>
      <c r="E64" s="4"/>
      <c r="F64" s="4" t="s">
        <v>211</v>
      </c>
      <c r="G64" s="4" t="s">
        <v>49</v>
      </c>
      <c r="H64" s="4" t="s">
        <v>20</v>
      </c>
      <c r="I64" s="5">
        <v>46229</v>
      </c>
      <c r="J64" s="4">
        <v>900</v>
      </c>
      <c r="K64" s="7">
        <v>741.71541141359944</v>
      </c>
      <c r="L64" s="7">
        <v>1186.7446582617592</v>
      </c>
      <c r="M64" s="4">
        <v>1500</v>
      </c>
      <c r="N64" s="4">
        <v>652.91999999999996</v>
      </c>
      <c r="O64" s="4">
        <v>28</v>
      </c>
      <c r="P64" s="7">
        <v>23.318571428571428</v>
      </c>
      <c r="Q64" s="4">
        <v>820</v>
      </c>
      <c r="R64" s="5">
        <v>46221.291666666701</v>
      </c>
      <c r="S64" s="9">
        <v>2.4090909090909092</v>
      </c>
      <c r="T64" s="10">
        <v>2.4</v>
      </c>
      <c r="U64" s="10"/>
      <c r="V64" s="10">
        <v>500</v>
      </c>
      <c r="W64" s="13"/>
      <c r="X64" s="13"/>
      <c r="Y64" s="10">
        <f>+J64-V64</f>
        <v>400</v>
      </c>
      <c r="Z64" s="10"/>
    </row>
    <row r="65" spans="1:26" x14ac:dyDescent="0.35">
      <c r="A65" s="4" t="s">
        <v>212</v>
      </c>
      <c r="B65" s="4" t="s">
        <v>15</v>
      </c>
      <c r="C65" s="4" t="s">
        <v>16</v>
      </c>
      <c r="D65" s="4" t="s">
        <v>212</v>
      </c>
      <c r="E65" s="4" t="s">
        <v>213</v>
      </c>
      <c r="F65" s="4" t="s">
        <v>214</v>
      </c>
      <c r="G65" s="4" t="s">
        <v>19</v>
      </c>
      <c r="H65" s="4" t="s">
        <v>20</v>
      </c>
      <c r="I65" s="5">
        <v>46229</v>
      </c>
      <c r="J65" s="4">
        <v>650</v>
      </c>
      <c r="K65" s="7">
        <v>668.26357129823043</v>
      </c>
      <c r="L65" s="7">
        <v>1069.2217140771688</v>
      </c>
      <c r="M65" s="4">
        <v>2000</v>
      </c>
      <c r="N65" s="4">
        <v>528.02</v>
      </c>
      <c r="O65" s="4">
        <v>28</v>
      </c>
      <c r="P65" s="7">
        <v>18.857857142857142</v>
      </c>
      <c r="Q65" s="4">
        <v>589</v>
      </c>
      <c r="R65" s="5">
        <v>46219.666666666701</v>
      </c>
      <c r="S65" s="9">
        <v>3.5087719298245612</v>
      </c>
      <c r="T65" s="10">
        <v>2.87</v>
      </c>
      <c r="U65" s="10" t="s">
        <v>536</v>
      </c>
      <c r="V65" s="10">
        <v>200</v>
      </c>
      <c r="W65" s="13"/>
      <c r="X65" s="13"/>
      <c r="Y65" s="10">
        <v>500</v>
      </c>
      <c r="Z65" s="9">
        <v>450</v>
      </c>
    </row>
    <row r="66" spans="1:26" x14ac:dyDescent="0.35">
      <c r="A66" s="4" t="s">
        <v>215</v>
      </c>
      <c r="B66" s="4" t="s">
        <v>15</v>
      </c>
      <c r="C66" s="4" t="s">
        <v>40</v>
      </c>
      <c r="D66" s="4" t="s">
        <v>215</v>
      </c>
      <c r="E66" s="4" t="s">
        <v>216</v>
      </c>
      <c r="F66" s="4" t="s">
        <v>217</v>
      </c>
      <c r="G66" s="4" t="s">
        <v>25</v>
      </c>
      <c r="H66" s="4" t="s">
        <v>43</v>
      </c>
      <c r="I66" s="5">
        <v>46229</v>
      </c>
      <c r="J66" s="4">
        <v>400</v>
      </c>
      <c r="K66" s="7">
        <v>423.83991679327278</v>
      </c>
      <c r="L66" s="7">
        <v>678.14386686923649</v>
      </c>
      <c r="M66" s="4">
        <v>1000</v>
      </c>
      <c r="N66" s="4">
        <v>248.06</v>
      </c>
      <c r="O66" s="4">
        <v>28</v>
      </c>
      <c r="P66" s="7">
        <v>8.8592857142857149</v>
      </c>
      <c r="Q66" s="4">
        <v>530</v>
      </c>
      <c r="R66" s="5">
        <v>46220.913194444503</v>
      </c>
      <c r="S66" s="9">
        <v>4.2</v>
      </c>
      <c r="T66" s="10">
        <v>3.38</v>
      </c>
      <c r="U66" s="10"/>
      <c r="V66" s="10"/>
      <c r="W66" s="13"/>
      <c r="X66" s="13"/>
      <c r="Y66" s="10">
        <v>400</v>
      </c>
      <c r="Z66" s="10"/>
    </row>
    <row r="67" spans="1:26" x14ac:dyDescent="0.35">
      <c r="A67" s="4" t="s">
        <v>218</v>
      </c>
      <c r="B67" s="4" t="s">
        <v>15</v>
      </c>
      <c r="C67" s="4" t="s">
        <v>27</v>
      </c>
      <c r="D67" s="4" t="s">
        <v>218</v>
      </c>
      <c r="E67" s="4" t="s">
        <v>219</v>
      </c>
      <c r="F67" s="4" t="s">
        <v>220</v>
      </c>
      <c r="G67" s="4" t="s">
        <v>25</v>
      </c>
      <c r="H67" s="4" t="s">
        <v>20</v>
      </c>
      <c r="I67" s="5">
        <v>46229</v>
      </c>
      <c r="J67" s="4">
        <v>800</v>
      </c>
      <c r="K67" s="7">
        <v>618.04390588825925</v>
      </c>
      <c r="L67" s="7">
        <v>988.87024942121479</v>
      </c>
      <c r="M67" s="4">
        <v>1000</v>
      </c>
      <c r="N67" s="4">
        <v>665.52</v>
      </c>
      <c r="O67" s="4">
        <v>28</v>
      </c>
      <c r="P67" s="7">
        <v>23.768571428571427</v>
      </c>
      <c r="Q67" s="4">
        <v>367</v>
      </c>
      <c r="R67" s="5">
        <v>46226.583333333299</v>
      </c>
      <c r="S67" s="9" t="s">
        <v>530</v>
      </c>
      <c r="T67" s="10">
        <v>2</v>
      </c>
      <c r="U67" s="10"/>
      <c r="V67" s="10"/>
      <c r="W67" s="13"/>
      <c r="X67" s="13">
        <v>250</v>
      </c>
      <c r="Y67" s="10"/>
      <c r="Z67" s="9">
        <v>550</v>
      </c>
    </row>
    <row r="68" spans="1:26" x14ac:dyDescent="0.35">
      <c r="A68" s="4" t="s">
        <v>221</v>
      </c>
      <c r="B68" s="4" t="s">
        <v>15</v>
      </c>
      <c r="C68" s="4" t="s">
        <v>58</v>
      </c>
      <c r="D68" s="4" t="s">
        <v>221</v>
      </c>
      <c r="E68" s="4" t="s">
        <v>222</v>
      </c>
      <c r="F68" s="4" t="s">
        <v>223</v>
      </c>
      <c r="G68" s="4" t="s">
        <v>25</v>
      </c>
      <c r="H68" s="4" t="s">
        <v>67</v>
      </c>
      <c r="I68" s="5">
        <v>46229</v>
      </c>
      <c r="J68" s="4">
        <v>100</v>
      </c>
      <c r="K68" s="7">
        <v>107.30836391979157</v>
      </c>
      <c r="L68" s="7">
        <v>171.69338227166654</v>
      </c>
      <c r="M68" s="4">
        <v>1000</v>
      </c>
      <c r="N68" s="4">
        <v>18.18</v>
      </c>
      <c r="O68" s="4">
        <v>28</v>
      </c>
      <c r="P68" s="7">
        <v>0.64928571428571424</v>
      </c>
      <c r="Q68" s="4">
        <v>570</v>
      </c>
      <c r="R68" s="5">
        <v>46213.583333333299</v>
      </c>
      <c r="S68" s="9">
        <v>5.9</v>
      </c>
      <c r="T68" s="10">
        <v>5.54</v>
      </c>
      <c r="U68" s="10"/>
      <c r="V68" s="10"/>
      <c r="W68" s="13"/>
      <c r="X68" s="13"/>
      <c r="Y68" s="10">
        <f>+J68-V68</f>
        <v>100</v>
      </c>
      <c r="Z68" s="10"/>
    </row>
    <row r="69" spans="1:26" x14ac:dyDescent="0.35">
      <c r="A69" s="4" t="s">
        <v>224</v>
      </c>
      <c r="B69" s="4" t="s">
        <v>15</v>
      </c>
      <c r="C69" s="4" t="s">
        <v>40</v>
      </c>
      <c r="D69" s="4" t="s">
        <v>224</v>
      </c>
      <c r="E69" s="4" t="s">
        <v>225</v>
      </c>
      <c r="F69" s="4" t="s">
        <v>226</v>
      </c>
      <c r="G69" s="4" t="s">
        <v>25</v>
      </c>
      <c r="H69" s="4" t="s">
        <v>20</v>
      </c>
      <c r="I69" s="5">
        <v>46229</v>
      </c>
      <c r="J69" s="4">
        <v>300</v>
      </c>
      <c r="K69" s="7">
        <v>313.41977910928449</v>
      </c>
      <c r="L69" s="7">
        <v>501.47164657485519</v>
      </c>
      <c r="M69" s="4">
        <v>1000</v>
      </c>
      <c r="N69" s="4">
        <v>137.83000000000001</v>
      </c>
      <c r="O69" s="4">
        <v>28</v>
      </c>
      <c r="P69" s="7">
        <v>4.9225000000000003</v>
      </c>
      <c r="Q69" s="4">
        <v>225</v>
      </c>
      <c r="R69" s="5">
        <v>46220.625</v>
      </c>
      <c r="S69" s="9">
        <v>4</v>
      </c>
      <c r="T69" s="10">
        <v>4.03</v>
      </c>
      <c r="U69" s="10"/>
      <c r="V69" s="10"/>
      <c r="W69" s="13">
        <f t="shared" ref="W68:W131" si="1">+J69-V69</f>
        <v>300</v>
      </c>
      <c r="X69" s="13"/>
      <c r="Y69" s="10"/>
      <c r="Z69" s="10"/>
    </row>
    <row r="70" spans="1:26" x14ac:dyDescent="0.35">
      <c r="A70" s="4" t="s">
        <v>227</v>
      </c>
      <c r="B70" s="4" t="s">
        <v>15</v>
      </c>
      <c r="C70" s="4" t="s">
        <v>16</v>
      </c>
      <c r="D70" s="4" t="s">
        <v>227</v>
      </c>
      <c r="E70" s="4" t="s">
        <v>228</v>
      </c>
      <c r="F70" s="4" t="s">
        <v>229</v>
      </c>
      <c r="G70" s="4" t="s">
        <v>25</v>
      </c>
      <c r="H70" s="4" t="s">
        <v>43</v>
      </c>
      <c r="I70" s="5">
        <v>46229</v>
      </c>
      <c r="J70" s="4">
        <v>100</v>
      </c>
      <c r="K70" s="7">
        <v>107.30836391979157</v>
      </c>
      <c r="L70" s="7">
        <v>171.69338227166654</v>
      </c>
      <c r="M70" s="4">
        <v>1000</v>
      </c>
      <c r="N70" s="4">
        <v>20.84</v>
      </c>
      <c r="O70" s="4">
        <v>28</v>
      </c>
      <c r="P70" s="7">
        <v>0.74428571428571433</v>
      </c>
      <c r="Q70" s="4">
        <v>253</v>
      </c>
      <c r="R70" s="5">
        <v>46216.416666666701</v>
      </c>
      <c r="S70" s="9">
        <v>3</v>
      </c>
      <c r="T70" s="10">
        <v>1.96</v>
      </c>
      <c r="U70" s="10"/>
      <c r="V70" s="10"/>
      <c r="W70" s="13"/>
      <c r="X70" s="13"/>
      <c r="Y70" s="10"/>
      <c r="Z70" s="9">
        <v>100</v>
      </c>
    </row>
    <row r="71" spans="1:26" x14ac:dyDescent="0.35">
      <c r="A71" s="4" t="s">
        <v>230</v>
      </c>
      <c r="B71" s="4" t="s">
        <v>15</v>
      </c>
      <c r="C71" s="4" t="s">
        <v>58</v>
      </c>
      <c r="D71" s="4" t="s">
        <v>230</v>
      </c>
      <c r="E71" s="4" t="s">
        <v>231</v>
      </c>
      <c r="F71" s="4" t="s">
        <v>232</v>
      </c>
      <c r="G71" s="4" t="s">
        <v>25</v>
      </c>
      <c r="H71" s="4" t="s">
        <v>108</v>
      </c>
      <c r="I71" s="5">
        <v>46229</v>
      </c>
      <c r="J71" s="4">
        <v>800</v>
      </c>
      <c r="K71" s="7">
        <v>1155.8398494528592</v>
      </c>
      <c r="L71" s="7">
        <v>1849.3437591245747</v>
      </c>
      <c r="M71" s="4">
        <v>1000</v>
      </c>
      <c r="N71" s="4">
        <v>659.49</v>
      </c>
      <c r="O71" s="4">
        <v>28</v>
      </c>
      <c r="P71" s="7">
        <v>23.553214285714287</v>
      </c>
      <c r="Q71" s="4">
        <v>742</v>
      </c>
      <c r="R71" s="5">
        <v>46220.5</v>
      </c>
      <c r="S71" s="9">
        <v>4.5084745762711869</v>
      </c>
      <c r="T71" s="10">
        <v>4.03</v>
      </c>
      <c r="U71" s="10"/>
      <c r="V71" s="10">
        <v>700</v>
      </c>
      <c r="W71" s="13"/>
      <c r="X71" s="13"/>
      <c r="Y71" s="10">
        <f>+J71-V71</f>
        <v>100</v>
      </c>
      <c r="Z71" s="10"/>
    </row>
    <row r="72" spans="1:26" x14ac:dyDescent="0.35">
      <c r="A72" s="4" t="s">
        <v>233</v>
      </c>
      <c r="B72" s="4" t="s">
        <v>15</v>
      </c>
      <c r="C72" s="4" t="s">
        <v>136</v>
      </c>
      <c r="D72" s="4" t="s">
        <v>233</v>
      </c>
      <c r="E72" s="4" t="s">
        <v>234</v>
      </c>
      <c r="F72" s="4" t="s">
        <v>235</v>
      </c>
      <c r="G72" s="4" t="s">
        <v>38</v>
      </c>
      <c r="H72" s="4" t="s">
        <v>20</v>
      </c>
      <c r="I72" s="5">
        <v>46229</v>
      </c>
      <c r="J72" s="4">
        <v>800</v>
      </c>
      <c r="K72" s="7">
        <v>796.61068378878826</v>
      </c>
      <c r="L72" s="7">
        <v>1274.5770940620614</v>
      </c>
      <c r="M72" s="4">
        <v>1000</v>
      </c>
      <c r="N72" s="4">
        <v>658.31</v>
      </c>
      <c r="O72" s="4">
        <v>28</v>
      </c>
      <c r="P72" s="7">
        <v>23.511071428571427</v>
      </c>
      <c r="Q72" s="4">
        <v>368</v>
      </c>
      <c r="R72" s="5">
        <v>46224.034722222197</v>
      </c>
      <c r="S72" s="9">
        <v>2.8636363636363638</v>
      </c>
      <c r="T72" s="10">
        <v>2.61</v>
      </c>
      <c r="U72" s="10"/>
      <c r="V72" s="10">
        <v>200</v>
      </c>
      <c r="W72" s="13"/>
      <c r="X72" s="13"/>
      <c r="Y72" s="10"/>
      <c r="Z72" s="9">
        <v>600</v>
      </c>
    </row>
    <row r="73" spans="1:26" x14ac:dyDescent="0.35">
      <c r="A73" s="4" t="s">
        <v>236</v>
      </c>
      <c r="B73" s="4"/>
      <c r="C73" s="4" t="s">
        <v>16</v>
      </c>
      <c r="D73" s="4" t="s">
        <v>236</v>
      </c>
      <c r="E73" s="4" t="s">
        <v>237</v>
      </c>
      <c r="F73" s="4" t="s">
        <v>238</v>
      </c>
      <c r="G73" s="4" t="s">
        <v>25</v>
      </c>
      <c r="H73" s="4" t="s">
        <v>20</v>
      </c>
      <c r="I73" s="5">
        <v>46229</v>
      </c>
      <c r="J73" s="4">
        <v>100</v>
      </c>
      <c r="K73" s="7">
        <v>107.30836391979157</v>
      </c>
      <c r="L73" s="7">
        <v>171.69338227166654</v>
      </c>
      <c r="M73" s="4">
        <v>500</v>
      </c>
      <c r="N73" s="4">
        <v>50.57</v>
      </c>
      <c r="O73" s="4">
        <v>28</v>
      </c>
      <c r="P73" s="7">
        <v>1.8060714285714285</v>
      </c>
      <c r="Q73" s="4">
        <v>294</v>
      </c>
      <c r="R73" s="5">
        <v>46224.791666666701</v>
      </c>
      <c r="S73" s="9">
        <v>2</v>
      </c>
      <c r="T73" s="10">
        <v>1.96</v>
      </c>
      <c r="U73" s="10"/>
      <c r="V73" s="10"/>
      <c r="W73" s="13"/>
      <c r="X73" s="13"/>
      <c r="Y73" s="10"/>
      <c r="Z73" s="9">
        <v>100</v>
      </c>
    </row>
    <row r="74" spans="1:26" x14ac:dyDescent="0.35">
      <c r="A74" s="4" t="s">
        <v>239</v>
      </c>
      <c r="B74" s="4" t="s">
        <v>15</v>
      </c>
      <c r="C74" s="4" t="s">
        <v>136</v>
      </c>
      <c r="D74" s="4" t="s">
        <v>239</v>
      </c>
      <c r="E74" s="4" t="s">
        <v>240</v>
      </c>
      <c r="F74" s="4" t="s">
        <v>241</v>
      </c>
      <c r="G74" s="4" t="s">
        <v>25</v>
      </c>
      <c r="H74" s="4" t="s">
        <v>20</v>
      </c>
      <c r="I74" s="5">
        <v>46229</v>
      </c>
      <c r="J74" s="4">
        <v>700</v>
      </c>
      <c r="K74" s="7">
        <v>710.02628690714755</v>
      </c>
      <c r="L74" s="7">
        <v>1136.0420590514361</v>
      </c>
      <c r="M74" s="4">
        <v>1000</v>
      </c>
      <c r="N74" s="4">
        <v>607.1</v>
      </c>
      <c r="O74" s="4">
        <v>28</v>
      </c>
      <c r="P74" s="7">
        <v>21.682142857142857</v>
      </c>
      <c r="Q74" s="4">
        <v>180</v>
      </c>
      <c r="R74" s="5">
        <v>46213.793749999997</v>
      </c>
      <c r="S74" s="9">
        <v>1.7142857142857142</v>
      </c>
      <c r="T74" s="10">
        <v>2.61</v>
      </c>
      <c r="U74" s="10"/>
      <c r="V74" s="10"/>
      <c r="W74" s="13"/>
      <c r="X74" s="13"/>
      <c r="Y74" s="10"/>
      <c r="Z74" s="9">
        <v>700</v>
      </c>
    </row>
    <row r="75" spans="1:26" x14ac:dyDescent="0.35">
      <c r="A75" s="4" t="s">
        <v>242</v>
      </c>
      <c r="B75" s="4" t="s">
        <v>15</v>
      </c>
      <c r="C75" s="4" t="s">
        <v>136</v>
      </c>
      <c r="D75" s="4" t="s">
        <v>242</v>
      </c>
      <c r="E75" s="4" t="s">
        <v>243</v>
      </c>
      <c r="F75" s="4" t="s">
        <v>244</v>
      </c>
      <c r="G75" s="4" t="s">
        <v>38</v>
      </c>
      <c r="H75" s="4" t="s">
        <v>20</v>
      </c>
      <c r="I75" s="5">
        <v>46229</v>
      </c>
      <c r="J75" s="4">
        <v>650</v>
      </c>
      <c r="K75" s="7">
        <v>641.85163524431971</v>
      </c>
      <c r="L75" s="7">
        <v>1026.9626163909115</v>
      </c>
      <c r="M75" s="4">
        <v>1000</v>
      </c>
      <c r="N75" s="4">
        <v>662.55</v>
      </c>
      <c r="O75" s="4">
        <v>28</v>
      </c>
      <c r="P75" s="7">
        <v>23.662499999999998</v>
      </c>
      <c r="Q75" s="4">
        <v>269</v>
      </c>
      <c r="R75" s="5">
        <v>46223.530555555597</v>
      </c>
      <c r="S75" s="9">
        <v>2.0697674418604652</v>
      </c>
      <c r="T75" s="10">
        <v>2.09</v>
      </c>
      <c r="U75" s="10"/>
      <c r="V75" s="10">
        <v>200</v>
      </c>
      <c r="W75" s="13"/>
      <c r="X75" s="13"/>
      <c r="Y75" s="10"/>
      <c r="Z75" s="9">
        <v>450</v>
      </c>
    </row>
    <row r="76" spans="1:26" x14ac:dyDescent="0.35">
      <c r="A76" s="4" t="s">
        <v>245</v>
      </c>
      <c r="B76" s="4" t="s">
        <v>15</v>
      </c>
      <c r="C76" s="4" t="s">
        <v>136</v>
      </c>
      <c r="D76" s="4" t="s">
        <v>245</v>
      </c>
      <c r="E76" s="4" t="s">
        <v>246</v>
      </c>
      <c r="F76" s="4" t="s">
        <v>247</v>
      </c>
      <c r="G76" s="4" t="s">
        <v>25</v>
      </c>
      <c r="H76" s="4" t="s">
        <v>20</v>
      </c>
      <c r="I76" s="5">
        <v>46229</v>
      </c>
      <c r="J76" s="4">
        <v>400</v>
      </c>
      <c r="K76" s="7">
        <v>645.9105041060094</v>
      </c>
      <c r="L76" s="7">
        <v>1033.4568065696151</v>
      </c>
      <c r="M76" s="4">
        <v>500</v>
      </c>
      <c r="N76" s="4">
        <v>298.81</v>
      </c>
      <c r="O76" s="4">
        <v>28</v>
      </c>
      <c r="P76" s="7">
        <v>10.671785714285715</v>
      </c>
      <c r="Q76" s="4">
        <v>170</v>
      </c>
      <c r="R76" s="5">
        <v>46216.614583333299</v>
      </c>
      <c r="S76" s="9" t="s">
        <v>530</v>
      </c>
      <c r="T76" s="10">
        <v>2.09</v>
      </c>
      <c r="U76" s="10"/>
      <c r="V76" s="10"/>
      <c r="W76" s="13"/>
      <c r="X76" s="13"/>
      <c r="Y76" s="10"/>
      <c r="Z76" s="9">
        <v>400</v>
      </c>
    </row>
    <row r="77" spans="1:26" x14ac:dyDescent="0.35">
      <c r="A77" s="4" t="s">
        <v>248</v>
      </c>
      <c r="B77" s="4" t="s">
        <v>15</v>
      </c>
      <c r="C77" s="4" t="s">
        <v>16</v>
      </c>
      <c r="D77" s="4" t="s">
        <v>248</v>
      </c>
      <c r="E77" s="4" t="s">
        <v>249</v>
      </c>
      <c r="F77" s="4" t="s">
        <v>250</v>
      </c>
      <c r="G77" s="4" t="s">
        <v>25</v>
      </c>
      <c r="H77" s="4" t="s">
        <v>20</v>
      </c>
      <c r="I77" s="5">
        <v>46229</v>
      </c>
      <c r="J77" s="4">
        <v>50</v>
      </c>
      <c r="K77" s="7">
        <v>48.605097023627735</v>
      </c>
      <c r="L77" s="7">
        <v>77.768155237804379</v>
      </c>
      <c r="M77" s="4">
        <v>600</v>
      </c>
      <c r="N77" s="4">
        <v>8.7799999999999994</v>
      </c>
      <c r="O77" s="4">
        <v>28</v>
      </c>
      <c r="P77" s="7">
        <v>0.31357142857142856</v>
      </c>
      <c r="Q77" s="4">
        <v>100</v>
      </c>
      <c r="R77" s="5">
        <v>46223.583333333299</v>
      </c>
      <c r="S77" s="9" t="s">
        <v>530</v>
      </c>
      <c r="T77" s="10">
        <v>2.87</v>
      </c>
      <c r="U77" s="10"/>
      <c r="V77" s="10"/>
      <c r="W77" s="13"/>
      <c r="X77" s="13"/>
      <c r="Y77" s="10"/>
      <c r="Z77" s="9">
        <v>50</v>
      </c>
    </row>
    <row r="78" spans="1:26" x14ac:dyDescent="0.35">
      <c r="A78" s="4" t="s">
        <v>251</v>
      </c>
      <c r="B78" s="4" t="s">
        <v>15</v>
      </c>
      <c r="C78" s="4" t="s">
        <v>136</v>
      </c>
      <c r="D78" s="4" t="s">
        <v>251</v>
      </c>
      <c r="E78" s="4" t="s">
        <v>252</v>
      </c>
      <c r="F78" s="4" t="s">
        <v>253</v>
      </c>
      <c r="G78" s="4" t="s">
        <v>254</v>
      </c>
      <c r="H78" s="4" t="s">
        <v>20</v>
      </c>
      <c r="I78" s="5">
        <v>46229</v>
      </c>
      <c r="J78" s="4">
        <v>650</v>
      </c>
      <c r="K78" s="7">
        <v>645.9105041060094</v>
      </c>
      <c r="L78" s="7">
        <v>1033.4568065696151</v>
      </c>
      <c r="M78" s="4">
        <v>1500</v>
      </c>
      <c r="N78" s="4">
        <v>668.67</v>
      </c>
      <c r="O78" s="4">
        <v>28</v>
      </c>
      <c r="P78" s="7">
        <v>23.881071428571428</v>
      </c>
      <c r="Q78" s="4">
        <v>435</v>
      </c>
      <c r="R78" s="5">
        <v>46221.743750000001</v>
      </c>
      <c r="S78" s="9">
        <v>2</v>
      </c>
      <c r="T78" s="10">
        <v>2.09</v>
      </c>
      <c r="U78" s="10"/>
      <c r="V78" s="10">
        <v>150</v>
      </c>
      <c r="W78" s="13"/>
      <c r="X78" s="13"/>
      <c r="Y78" s="10"/>
      <c r="Z78" s="9">
        <v>500</v>
      </c>
    </row>
    <row r="79" spans="1:26" x14ac:dyDescent="0.35">
      <c r="A79" s="4" t="s">
        <v>255</v>
      </c>
      <c r="B79" s="4" t="s">
        <v>15</v>
      </c>
      <c r="C79" s="4" t="s">
        <v>136</v>
      </c>
      <c r="D79" s="4" t="s">
        <v>255</v>
      </c>
      <c r="E79" s="4" t="s">
        <v>256</v>
      </c>
      <c r="F79" s="4" t="s">
        <v>257</v>
      </c>
      <c r="G79" s="4" t="s">
        <v>258</v>
      </c>
      <c r="H79" s="4" t="s">
        <v>67</v>
      </c>
      <c r="I79" s="5">
        <v>46229</v>
      </c>
      <c r="J79" s="4">
        <v>900</v>
      </c>
      <c r="K79" s="7">
        <v>763.62618399749954</v>
      </c>
      <c r="L79" s="7">
        <v>1221.8018943959994</v>
      </c>
      <c r="M79" s="4">
        <v>2000</v>
      </c>
      <c r="N79" s="4">
        <v>672</v>
      </c>
      <c r="O79" s="4">
        <v>28</v>
      </c>
      <c r="P79" s="7">
        <v>24</v>
      </c>
      <c r="Q79" s="4">
        <v>824</v>
      </c>
      <c r="R79" s="5">
        <v>46216.256944444503</v>
      </c>
      <c r="S79" s="9">
        <v>2.7777777777777777</v>
      </c>
      <c r="T79" s="10">
        <v>2.61</v>
      </c>
      <c r="U79" s="10" t="s">
        <v>537</v>
      </c>
      <c r="V79" s="10"/>
      <c r="W79" s="13"/>
      <c r="X79" s="13">
        <v>300</v>
      </c>
      <c r="Y79" s="10"/>
      <c r="Z79" s="9">
        <v>600</v>
      </c>
    </row>
    <row r="80" spans="1:26" x14ac:dyDescent="0.35">
      <c r="A80" s="4" t="s">
        <v>259</v>
      </c>
      <c r="B80" s="4" t="s">
        <v>15</v>
      </c>
      <c r="C80" s="4" t="s">
        <v>27</v>
      </c>
      <c r="D80" s="4" t="s">
        <v>259</v>
      </c>
      <c r="E80" s="4" t="s">
        <v>260</v>
      </c>
      <c r="F80" s="4" t="s">
        <v>261</v>
      </c>
      <c r="G80" s="4" t="s">
        <v>25</v>
      </c>
      <c r="H80" s="4" t="s">
        <v>67</v>
      </c>
      <c r="I80" s="5">
        <v>46229</v>
      </c>
      <c r="J80" s="4">
        <v>150</v>
      </c>
      <c r="K80" s="7">
        <v>107.30836391979157</v>
      </c>
      <c r="L80" s="7">
        <v>171.69338227166654</v>
      </c>
      <c r="M80" s="4">
        <v>1000</v>
      </c>
      <c r="N80" s="4">
        <v>45.51</v>
      </c>
      <c r="O80" s="4">
        <v>28</v>
      </c>
      <c r="P80" s="7">
        <v>1.6253571428571427</v>
      </c>
      <c r="Q80" s="4">
        <v>500</v>
      </c>
      <c r="R80" s="5">
        <v>46222.541666666701</v>
      </c>
      <c r="S80" s="9">
        <v>3.6</v>
      </c>
      <c r="T80" s="10">
        <v>3.31</v>
      </c>
      <c r="U80" s="10"/>
      <c r="V80" s="10"/>
      <c r="W80" s="13"/>
      <c r="X80" s="13"/>
      <c r="Y80" s="10"/>
      <c r="Z80" s="9">
        <v>150</v>
      </c>
    </row>
    <row r="81" spans="1:26" x14ac:dyDescent="0.35">
      <c r="A81" s="4" t="s">
        <v>262</v>
      </c>
      <c r="B81" s="4" t="s">
        <v>15</v>
      </c>
      <c r="C81" s="4" t="s">
        <v>22</v>
      </c>
      <c r="D81" s="4" t="s">
        <v>262</v>
      </c>
      <c r="E81" s="4" t="s">
        <v>263</v>
      </c>
      <c r="F81" s="4" t="s">
        <v>264</v>
      </c>
      <c r="G81" s="4" t="s">
        <v>25</v>
      </c>
      <c r="H81" s="4" t="s">
        <v>43</v>
      </c>
      <c r="I81" s="5">
        <v>46229</v>
      </c>
      <c r="J81" s="4">
        <v>75</v>
      </c>
      <c r="K81" s="7">
        <v>107.30836391979157</v>
      </c>
      <c r="L81" s="7">
        <v>171.69338227166654</v>
      </c>
      <c r="M81" s="4">
        <v>1000</v>
      </c>
      <c r="N81" s="4">
        <v>46.78</v>
      </c>
      <c r="O81" s="4">
        <v>28</v>
      </c>
      <c r="P81" s="7">
        <v>1.6707142857142858</v>
      </c>
      <c r="Q81" s="4">
        <v>229</v>
      </c>
      <c r="R81" s="5">
        <v>46224.395833333299</v>
      </c>
      <c r="S81" s="9">
        <v>2.6176470588235294</v>
      </c>
      <c r="T81" s="10">
        <v>2.82</v>
      </c>
      <c r="U81" s="10"/>
      <c r="V81" s="10"/>
      <c r="W81" s="13"/>
      <c r="X81" s="13"/>
      <c r="Y81" s="10">
        <v>75</v>
      </c>
      <c r="Z81" s="10"/>
    </row>
    <row r="82" spans="1:26" x14ac:dyDescent="0.35">
      <c r="A82" s="4" t="s">
        <v>265</v>
      </c>
      <c r="B82" s="4" t="s">
        <v>15</v>
      </c>
      <c r="C82" s="4" t="s">
        <v>58</v>
      </c>
      <c r="D82" s="4" t="s">
        <v>265</v>
      </c>
      <c r="E82" s="4" t="s">
        <v>266</v>
      </c>
      <c r="F82" s="4" t="s">
        <v>267</v>
      </c>
      <c r="G82" s="4" t="s">
        <v>25</v>
      </c>
      <c r="H82" s="4" t="s">
        <v>20</v>
      </c>
      <c r="I82" s="5">
        <v>46229</v>
      </c>
      <c r="J82" s="4">
        <v>100</v>
      </c>
      <c r="K82" s="7">
        <v>21.461672783958317</v>
      </c>
      <c r="L82" s="7">
        <v>34.33867645433331</v>
      </c>
      <c r="M82" s="4">
        <v>850</v>
      </c>
      <c r="N82" s="4">
        <v>30.27</v>
      </c>
      <c r="O82" s="4">
        <v>28</v>
      </c>
      <c r="P82" s="7">
        <v>1.0810714285714285</v>
      </c>
      <c r="Q82" s="4">
        <v>104</v>
      </c>
      <c r="R82" s="5">
        <v>46214.625</v>
      </c>
      <c r="S82" s="9">
        <v>2.8571428571428572</v>
      </c>
      <c r="T82" s="10">
        <v>2.09</v>
      </c>
      <c r="U82" s="10"/>
      <c r="V82" s="10"/>
      <c r="W82" s="13"/>
      <c r="X82" s="13"/>
      <c r="Y82" s="10">
        <f>+J82-V82</f>
        <v>100</v>
      </c>
      <c r="Z82" s="10"/>
    </row>
    <row r="83" spans="1:26" x14ac:dyDescent="0.35">
      <c r="A83" s="4" t="s">
        <v>268</v>
      </c>
      <c r="B83" s="4" t="s">
        <v>15</v>
      </c>
      <c r="C83" s="4" t="s">
        <v>136</v>
      </c>
      <c r="D83" s="4" t="s">
        <v>268</v>
      </c>
      <c r="E83" s="4" t="s">
        <v>269</v>
      </c>
      <c r="F83" s="4" t="s">
        <v>270</v>
      </c>
      <c r="G83" s="4" t="s">
        <v>25</v>
      </c>
      <c r="H83" s="4" t="s">
        <v>20</v>
      </c>
      <c r="I83" s="5">
        <v>46229</v>
      </c>
      <c r="J83" s="4">
        <v>550</v>
      </c>
      <c r="K83" s="7">
        <v>605.72144643345314</v>
      </c>
      <c r="L83" s="7">
        <v>969.15431429352509</v>
      </c>
      <c r="M83" s="4">
        <v>650</v>
      </c>
      <c r="N83" s="4">
        <v>661.47</v>
      </c>
      <c r="O83" s="4">
        <v>28</v>
      </c>
      <c r="P83" s="7">
        <v>23.623928571428571</v>
      </c>
      <c r="Q83" s="4">
        <v>423</v>
      </c>
      <c r="R83" s="5">
        <v>46221.856249999997</v>
      </c>
      <c r="S83" s="9" t="s">
        <v>530</v>
      </c>
      <c r="T83" s="10">
        <v>1.96</v>
      </c>
      <c r="U83" s="10"/>
      <c r="V83" s="10">
        <v>200</v>
      </c>
      <c r="W83" s="13"/>
      <c r="X83" s="13"/>
      <c r="Y83" s="10"/>
      <c r="Z83" s="9">
        <v>350</v>
      </c>
    </row>
    <row r="84" spans="1:26" x14ac:dyDescent="0.35">
      <c r="A84" s="4" t="s">
        <v>271</v>
      </c>
      <c r="B84" s="4" t="s">
        <v>15</v>
      </c>
      <c r="C84" s="4" t="s">
        <v>22</v>
      </c>
      <c r="D84" s="4" t="s">
        <v>271</v>
      </c>
      <c r="E84" s="4" t="s">
        <v>272</v>
      </c>
      <c r="F84" s="4" t="s">
        <v>273</v>
      </c>
      <c r="G84" s="4" t="s">
        <v>25</v>
      </c>
      <c r="H84" s="4" t="s">
        <v>20</v>
      </c>
      <c r="I84" s="5">
        <v>46229</v>
      </c>
      <c r="J84" s="4">
        <v>100</v>
      </c>
      <c r="K84" s="7">
        <v>75.857257985481823</v>
      </c>
      <c r="L84" s="7">
        <v>121.37161277677092</v>
      </c>
      <c r="M84" s="4">
        <v>600</v>
      </c>
      <c r="N84" s="4">
        <v>12</v>
      </c>
      <c r="O84" s="4">
        <v>28</v>
      </c>
      <c r="P84" s="7">
        <v>0.42857142857142855</v>
      </c>
      <c r="Q84" s="4">
        <v>154</v>
      </c>
      <c r="R84" s="5">
        <v>46221.638888888898</v>
      </c>
      <c r="S84" s="9">
        <v>3.5</v>
      </c>
      <c r="T84" s="10">
        <v>3.6</v>
      </c>
      <c r="U84" s="10"/>
      <c r="V84" s="10"/>
      <c r="W84" s="13"/>
      <c r="X84" s="13"/>
      <c r="Y84" s="10">
        <v>100</v>
      </c>
      <c r="Z84" s="10"/>
    </row>
    <row r="85" spans="1:26" x14ac:dyDescent="0.35">
      <c r="A85" s="4" t="s">
        <v>274</v>
      </c>
      <c r="B85" s="4" t="s">
        <v>15</v>
      </c>
      <c r="C85" s="4" t="s">
        <v>136</v>
      </c>
      <c r="D85" s="4" t="s">
        <v>274</v>
      </c>
      <c r="E85" s="4" t="s">
        <v>275</v>
      </c>
      <c r="F85" s="4" t="s">
        <v>276</v>
      </c>
      <c r="G85" s="4" t="s">
        <v>25</v>
      </c>
      <c r="H85" s="4" t="s">
        <v>20</v>
      </c>
      <c r="I85" s="5">
        <v>46229</v>
      </c>
      <c r="J85" s="4">
        <v>900</v>
      </c>
      <c r="K85" s="7">
        <v>604.97868561624466</v>
      </c>
      <c r="L85" s="7">
        <v>967.96589698599155</v>
      </c>
      <c r="M85" s="4">
        <v>1000</v>
      </c>
      <c r="N85" s="4">
        <v>617.73</v>
      </c>
      <c r="O85" s="4">
        <v>28</v>
      </c>
      <c r="P85" s="7">
        <v>22.061785714285715</v>
      </c>
      <c r="Q85" s="4">
        <v>154</v>
      </c>
      <c r="R85" s="5">
        <v>46223.741666666698</v>
      </c>
      <c r="S85" s="9">
        <v>3.7619047619047619</v>
      </c>
      <c r="T85" s="10">
        <v>1.96</v>
      </c>
      <c r="U85" s="10"/>
      <c r="V85" s="10"/>
      <c r="W85" s="13"/>
      <c r="X85" s="13">
        <v>320</v>
      </c>
      <c r="Y85" s="10"/>
      <c r="Z85" s="9">
        <v>580</v>
      </c>
    </row>
    <row r="86" spans="1:26" x14ac:dyDescent="0.35">
      <c r="A86" s="4" t="s">
        <v>277</v>
      </c>
      <c r="B86" s="4" t="s">
        <v>15</v>
      </c>
      <c r="C86" s="4" t="s">
        <v>58</v>
      </c>
      <c r="D86" s="4" t="s">
        <v>277</v>
      </c>
      <c r="E86" s="4" t="s">
        <v>278</v>
      </c>
      <c r="F86" s="4" t="s">
        <v>279</v>
      </c>
      <c r="G86" s="4" t="s">
        <v>25</v>
      </c>
      <c r="H86" s="4" t="s">
        <v>20</v>
      </c>
      <c r="I86" s="5">
        <v>46229</v>
      </c>
      <c r="J86" s="4">
        <v>20</v>
      </c>
      <c r="K86" s="7">
        <v>107.30836391979157</v>
      </c>
      <c r="L86" s="7">
        <v>171.69338227166654</v>
      </c>
      <c r="M86" s="4">
        <v>200</v>
      </c>
      <c r="N86" s="4">
        <v>0</v>
      </c>
      <c r="O86" s="4">
        <v>28</v>
      </c>
      <c r="P86" s="7">
        <v>0</v>
      </c>
      <c r="Q86" s="4">
        <v>80</v>
      </c>
      <c r="R86" s="5">
        <v>46212.4375</v>
      </c>
      <c r="S86" s="9">
        <v>4.625</v>
      </c>
      <c r="T86" s="10">
        <v>3.82</v>
      </c>
      <c r="U86" s="10"/>
      <c r="V86" s="10"/>
      <c r="W86" s="13"/>
      <c r="X86" s="13"/>
      <c r="Y86" s="10">
        <f>+J86-V86</f>
        <v>20</v>
      </c>
      <c r="Z86" s="10"/>
    </row>
    <row r="87" spans="1:26" x14ac:dyDescent="0.35">
      <c r="A87" s="4" t="s">
        <v>280</v>
      </c>
      <c r="B87" s="4" t="s">
        <v>15</v>
      </c>
      <c r="C87" s="4" t="s">
        <v>32</v>
      </c>
      <c r="D87" s="4" t="s">
        <v>280</v>
      </c>
      <c r="E87" s="4" t="s">
        <v>281</v>
      </c>
      <c r="F87" s="4" t="s">
        <v>282</v>
      </c>
      <c r="G87" s="4" t="s">
        <v>25</v>
      </c>
      <c r="H87" s="4" t="s">
        <v>20</v>
      </c>
      <c r="I87" s="5">
        <v>46229</v>
      </c>
      <c r="J87" s="4">
        <v>550</v>
      </c>
      <c r="K87" s="7">
        <v>582.40445423469055</v>
      </c>
      <c r="L87" s="7">
        <v>931.84712677550488</v>
      </c>
      <c r="M87" s="4">
        <v>1000</v>
      </c>
      <c r="N87" s="4">
        <v>141.57</v>
      </c>
      <c r="O87" s="4">
        <v>28</v>
      </c>
      <c r="P87" s="7">
        <v>5.0560714285714283</v>
      </c>
      <c r="Q87" s="4">
        <v>120</v>
      </c>
      <c r="R87" s="5">
        <v>46222.479166666701</v>
      </c>
      <c r="S87" s="9" t="s">
        <v>530</v>
      </c>
      <c r="T87" s="10">
        <v>3.38</v>
      </c>
      <c r="U87" s="10"/>
      <c r="V87" s="10"/>
      <c r="W87" s="13">
        <f t="shared" si="1"/>
        <v>550</v>
      </c>
      <c r="X87" s="13"/>
      <c r="Y87" s="10"/>
      <c r="Z87" s="10"/>
    </row>
    <row r="88" spans="1:26" x14ac:dyDescent="0.35">
      <c r="A88" s="4" t="s">
        <v>283</v>
      </c>
      <c r="B88" s="4" t="s">
        <v>15</v>
      </c>
      <c r="C88" s="4" t="s">
        <v>136</v>
      </c>
      <c r="D88" s="4" t="s">
        <v>283</v>
      </c>
      <c r="E88" s="4" t="s">
        <v>284</v>
      </c>
      <c r="F88" s="4" t="s">
        <v>285</v>
      </c>
      <c r="G88" s="4" t="s">
        <v>38</v>
      </c>
      <c r="H88" s="4" t="s">
        <v>20</v>
      </c>
      <c r="I88" s="5">
        <v>46229</v>
      </c>
      <c r="J88" s="4">
        <v>800</v>
      </c>
      <c r="K88" s="7">
        <v>676.81531291490944</v>
      </c>
      <c r="L88" s="7">
        <v>1082.9045006638551</v>
      </c>
      <c r="M88" s="4">
        <v>1000</v>
      </c>
      <c r="N88" s="4">
        <v>669.94</v>
      </c>
      <c r="O88" s="4">
        <v>28</v>
      </c>
      <c r="P88" s="7">
        <v>23.926428571428573</v>
      </c>
      <c r="Q88" s="4">
        <v>773</v>
      </c>
      <c r="R88" s="5">
        <v>46214.708333333299</v>
      </c>
      <c r="S88" s="9">
        <v>2.4137931034482758</v>
      </c>
      <c r="T88" s="10">
        <v>2.19</v>
      </c>
      <c r="U88" s="10"/>
      <c r="V88" s="10">
        <v>300</v>
      </c>
      <c r="W88" s="13"/>
      <c r="X88" s="13"/>
      <c r="Y88" s="10"/>
      <c r="Z88" s="9">
        <v>500</v>
      </c>
    </row>
    <row r="89" spans="1:26" x14ac:dyDescent="0.35">
      <c r="A89" s="4" t="s">
        <v>286</v>
      </c>
      <c r="B89" s="4" t="s">
        <v>15</v>
      </c>
      <c r="C89" s="4" t="s">
        <v>27</v>
      </c>
      <c r="D89" s="4" t="s">
        <v>286</v>
      </c>
      <c r="E89" s="4" t="s">
        <v>287</v>
      </c>
      <c r="F89" s="4" t="s">
        <v>288</v>
      </c>
      <c r="G89" s="4" t="s">
        <v>25</v>
      </c>
      <c r="H89" s="4" t="s">
        <v>20</v>
      </c>
      <c r="I89" s="5">
        <v>46229</v>
      </c>
      <c r="J89" s="4">
        <v>500</v>
      </c>
      <c r="K89" s="7">
        <v>334.98721937257966</v>
      </c>
      <c r="L89" s="7">
        <v>535.9795509961275</v>
      </c>
      <c r="M89" s="4">
        <v>1000</v>
      </c>
      <c r="N89" s="4">
        <v>349.36</v>
      </c>
      <c r="O89" s="4">
        <v>28</v>
      </c>
      <c r="P89" s="7">
        <v>12.477142857142857</v>
      </c>
      <c r="Q89" s="4">
        <v>195</v>
      </c>
      <c r="R89" s="5">
        <v>46226.708333333299</v>
      </c>
      <c r="S89" s="9">
        <v>1.7549019607843137</v>
      </c>
      <c r="T89" s="10">
        <v>2</v>
      </c>
      <c r="U89" s="10"/>
      <c r="V89" s="10"/>
      <c r="W89" s="13"/>
      <c r="X89" s="13"/>
      <c r="Y89" s="10"/>
      <c r="Z89" s="9">
        <v>500</v>
      </c>
    </row>
    <row r="90" spans="1:26" x14ac:dyDescent="0.35">
      <c r="A90" s="4" t="s">
        <v>289</v>
      </c>
      <c r="B90" s="4" t="s">
        <v>15</v>
      </c>
      <c r="C90" s="4" t="s">
        <v>290</v>
      </c>
      <c r="D90" s="4" t="s">
        <v>289</v>
      </c>
      <c r="E90" s="4" t="s">
        <v>291</v>
      </c>
      <c r="F90" s="4" t="s">
        <v>292</v>
      </c>
      <c r="G90" s="4" t="s">
        <v>293</v>
      </c>
      <c r="H90" s="4"/>
      <c r="I90" s="5">
        <v>46229</v>
      </c>
      <c r="J90" s="4">
        <v>0</v>
      </c>
      <c r="K90" s="7">
        <v>52.229126887040998</v>
      </c>
      <c r="L90" s="7">
        <v>83.5666030192656</v>
      </c>
      <c r="M90" s="4">
        <v>100</v>
      </c>
      <c r="N90" s="4"/>
      <c r="O90" s="4">
        <v>28</v>
      </c>
      <c r="P90" s="7"/>
      <c r="Q90" s="4">
        <v>82.5</v>
      </c>
      <c r="R90" s="5">
        <v>46221.541666666701</v>
      </c>
      <c r="S90" s="9">
        <v>5.2</v>
      </c>
      <c r="T90" s="10">
        <v>3.38</v>
      </c>
      <c r="U90" s="10" t="s">
        <v>550</v>
      </c>
      <c r="V90" s="10"/>
      <c r="W90" s="13">
        <v>75</v>
      </c>
      <c r="X90" s="13"/>
      <c r="Y90" s="10"/>
      <c r="Z90" s="10"/>
    </row>
    <row r="91" spans="1:26" x14ac:dyDescent="0.35">
      <c r="A91" s="4" t="s">
        <v>294</v>
      </c>
      <c r="B91" s="4" t="s">
        <v>15</v>
      </c>
      <c r="C91" s="4" t="s">
        <v>58</v>
      </c>
      <c r="D91" s="4" t="s">
        <v>294</v>
      </c>
      <c r="E91" s="4" t="s">
        <v>295</v>
      </c>
      <c r="F91" s="4" t="s">
        <v>296</v>
      </c>
      <c r="G91" s="4" t="s">
        <v>25</v>
      </c>
      <c r="H91" s="4" t="s">
        <v>108</v>
      </c>
      <c r="I91" s="5">
        <v>46229</v>
      </c>
      <c r="J91" s="4">
        <v>20</v>
      </c>
      <c r="K91" s="7">
        <v>107.30836391979157</v>
      </c>
      <c r="L91" s="7">
        <v>171.69338227166654</v>
      </c>
      <c r="M91" s="4">
        <v>150</v>
      </c>
      <c r="N91" s="4">
        <v>51.68</v>
      </c>
      <c r="O91" s="4">
        <v>28</v>
      </c>
      <c r="P91" s="7">
        <v>1.8457142857142856</v>
      </c>
      <c r="Q91" s="4">
        <v>41</v>
      </c>
      <c r="R91" s="5">
        <v>46225.4375</v>
      </c>
      <c r="S91" s="9">
        <v>4.4117647058823533</v>
      </c>
      <c r="T91" s="10">
        <v>3.77</v>
      </c>
      <c r="U91" s="10"/>
      <c r="V91" s="10"/>
      <c r="W91" s="13"/>
      <c r="X91" s="13"/>
      <c r="Y91" s="10">
        <f>+J91-V91</f>
        <v>20</v>
      </c>
      <c r="Z91" s="10"/>
    </row>
    <row r="92" spans="1:26" x14ac:dyDescent="0.35">
      <c r="A92" s="4" t="s">
        <v>297</v>
      </c>
      <c r="B92" s="4" t="s">
        <v>15</v>
      </c>
      <c r="C92" s="4" t="s">
        <v>22</v>
      </c>
      <c r="D92" s="4" t="s">
        <v>297</v>
      </c>
      <c r="E92" s="4" t="s">
        <v>298</v>
      </c>
      <c r="F92" s="4" t="s">
        <v>299</v>
      </c>
      <c r="G92" s="4" t="s">
        <v>25</v>
      </c>
      <c r="H92" s="4" t="s">
        <v>20</v>
      </c>
      <c r="I92" s="5">
        <v>46229</v>
      </c>
      <c r="J92" s="4">
        <v>0</v>
      </c>
      <c r="K92" s="7">
        <v>130.01653065904216</v>
      </c>
      <c r="L92" s="7">
        <v>208.02644905446746</v>
      </c>
      <c r="M92" s="4" t="s">
        <v>526</v>
      </c>
      <c r="N92" s="4">
        <v>12.05</v>
      </c>
      <c r="O92" s="4">
        <v>28</v>
      </c>
      <c r="P92" s="7">
        <v>0.43035714285714288</v>
      </c>
      <c r="Q92" s="4">
        <v>198</v>
      </c>
      <c r="R92" s="5">
        <v>46220.6875</v>
      </c>
      <c r="S92" s="9">
        <v>5.5</v>
      </c>
      <c r="T92" s="10">
        <v>4.7300000000000004</v>
      </c>
      <c r="U92" s="10"/>
      <c r="V92" s="10"/>
      <c r="W92" s="13">
        <f t="shared" si="1"/>
        <v>0</v>
      </c>
      <c r="X92" s="13"/>
      <c r="Y92" s="10"/>
      <c r="Z92" s="10"/>
    </row>
    <row r="93" spans="1:26" x14ac:dyDescent="0.35">
      <c r="A93" s="4" t="s">
        <v>300</v>
      </c>
      <c r="B93" s="4" t="s">
        <v>15</v>
      </c>
      <c r="C93" s="4" t="s">
        <v>58</v>
      </c>
      <c r="D93" s="4" t="s">
        <v>300</v>
      </c>
      <c r="E93" s="4" t="s">
        <v>301</v>
      </c>
      <c r="F93" s="4" t="s">
        <v>302</v>
      </c>
      <c r="G93" s="4" t="s">
        <v>25</v>
      </c>
      <c r="H93" s="4" t="s">
        <v>20</v>
      </c>
      <c r="I93" s="5">
        <v>46229</v>
      </c>
      <c r="J93" s="4">
        <v>100</v>
      </c>
      <c r="K93" s="7">
        <v>29.60303068864819</v>
      </c>
      <c r="L93" s="7">
        <v>47.364849101837109</v>
      </c>
      <c r="M93" s="4">
        <v>850</v>
      </c>
      <c r="N93" s="4">
        <v>29.83</v>
      </c>
      <c r="O93" s="4">
        <v>28</v>
      </c>
      <c r="P93" s="7">
        <v>1.0653571428571429</v>
      </c>
      <c r="Q93" s="4">
        <v>288</v>
      </c>
      <c r="R93" s="5">
        <v>46212.583333333299</v>
      </c>
      <c r="S93" s="9">
        <v>3.6470588235294117</v>
      </c>
      <c r="T93" s="10">
        <v>3.31</v>
      </c>
      <c r="U93" s="10"/>
      <c r="V93" s="10"/>
      <c r="W93" s="13"/>
      <c r="X93" s="13"/>
      <c r="Y93" s="10">
        <f>+J93-V93</f>
        <v>100</v>
      </c>
      <c r="Z93" s="10"/>
    </row>
    <row r="94" spans="1:26" x14ac:dyDescent="0.35">
      <c r="A94" s="4" t="s">
        <v>303</v>
      </c>
      <c r="B94" s="4" t="s">
        <v>15</v>
      </c>
      <c r="C94" s="4" t="s">
        <v>22</v>
      </c>
      <c r="D94" s="4" t="s">
        <v>303</v>
      </c>
      <c r="E94" s="4" t="s">
        <v>304</v>
      </c>
      <c r="F94" s="4" t="s">
        <v>305</v>
      </c>
      <c r="G94" s="4" t="s">
        <v>25</v>
      </c>
      <c r="H94" s="4" t="s">
        <v>43</v>
      </c>
      <c r="I94" s="5">
        <v>46229</v>
      </c>
      <c r="J94" s="4">
        <v>100</v>
      </c>
      <c r="K94" s="7">
        <v>107.30836391979157</v>
      </c>
      <c r="L94" s="7">
        <v>171.69338227166654</v>
      </c>
      <c r="M94" s="4">
        <v>1000</v>
      </c>
      <c r="N94" s="4">
        <v>12.11</v>
      </c>
      <c r="O94" s="4">
        <v>28</v>
      </c>
      <c r="P94" s="7">
        <v>0.4325</v>
      </c>
      <c r="Q94" s="4">
        <v>256</v>
      </c>
      <c r="R94" s="5">
        <v>46224.694444444503</v>
      </c>
      <c r="S94" s="9">
        <v>5.4</v>
      </c>
      <c r="T94" s="10">
        <v>3.47</v>
      </c>
      <c r="U94" s="10"/>
      <c r="V94" s="10"/>
      <c r="W94" s="13"/>
      <c r="X94" s="13"/>
      <c r="Y94" s="10">
        <v>100</v>
      </c>
      <c r="Z94" s="10"/>
    </row>
    <row r="95" spans="1:26" x14ac:dyDescent="0.35">
      <c r="A95" s="4" t="s">
        <v>306</v>
      </c>
      <c r="B95" s="4" t="s">
        <v>15</v>
      </c>
      <c r="C95" s="4" t="s">
        <v>22</v>
      </c>
      <c r="D95" s="4" t="s">
        <v>306</v>
      </c>
      <c r="E95" s="4" t="s">
        <v>307</v>
      </c>
      <c r="F95" s="4" t="s">
        <v>308</v>
      </c>
      <c r="G95" s="4" t="s">
        <v>25</v>
      </c>
      <c r="H95" s="4" t="s">
        <v>43</v>
      </c>
      <c r="I95" s="5">
        <v>46229</v>
      </c>
      <c r="J95" s="4">
        <v>100</v>
      </c>
      <c r="K95" s="7">
        <v>107.30836391979157</v>
      </c>
      <c r="L95" s="7">
        <v>171.69338227166654</v>
      </c>
      <c r="M95" s="4">
        <v>500</v>
      </c>
      <c r="N95" s="4">
        <v>17.95</v>
      </c>
      <c r="O95" s="4">
        <v>28</v>
      </c>
      <c r="P95" s="7">
        <v>0.64107142857142851</v>
      </c>
      <c r="Q95" s="4">
        <v>76</v>
      </c>
      <c r="R95" s="5">
        <v>46225.354166666701</v>
      </c>
      <c r="S95" s="9">
        <v>2.4266666666666667</v>
      </c>
      <c r="T95" s="10">
        <v>1.96</v>
      </c>
      <c r="U95" s="10"/>
      <c r="V95" s="10"/>
      <c r="W95" s="13">
        <f t="shared" si="1"/>
        <v>100</v>
      </c>
      <c r="X95" s="13"/>
      <c r="Y95" s="10"/>
      <c r="Z95" s="10"/>
    </row>
    <row r="96" spans="1:26" x14ac:dyDescent="0.35">
      <c r="A96" s="4" t="s">
        <v>309</v>
      </c>
      <c r="B96" s="4" t="s">
        <v>15</v>
      </c>
      <c r="C96" s="4" t="s">
        <v>136</v>
      </c>
      <c r="D96" s="4" t="s">
        <v>309</v>
      </c>
      <c r="E96" s="4" t="s">
        <v>310</v>
      </c>
      <c r="F96" s="4" t="s">
        <v>311</v>
      </c>
      <c r="G96" s="4" t="s">
        <v>25</v>
      </c>
      <c r="H96" s="4" t="s">
        <v>67</v>
      </c>
      <c r="I96" s="5">
        <v>46229</v>
      </c>
      <c r="J96" s="4">
        <v>50</v>
      </c>
      <c r="K96" s="7">
        <v>56.572461275141627</v>
      </c>
      <c r="L96" s="7">
        <v>90.515938040226615</v>
      </c>
      <c r="M96" s="4">
        <v>1000</v>
      </c>
      <c r="N96" s="4">
        <v>123.63</v>
      </c>
      <c r="O96" s="4">
        <v>28</v>
      </c>
      <c r="P96" s="7">
        <v>4.4153571428571423</v>
      </c>
      <c r="Q96" s="4">
        <v>378</v>
      </c>
      <c r="R96" s="5">
        <v>46212.714583333298</v>
      </c>
      <c r="S96" s="9">
        <v>2.6363636363636362</v>
      </c>
      <c r="T96" s="10">
        <v>2.71</v>
      </c>
      <c r="U96" s="10"/>
      <c r="V96" s="10"/>
      <c r="W96" s="13"/>
      <c r="X96" s="13"/>
      <c r="Y96" s="10"/>
      <c r="Z96" s="9">
        <v>50</v>
      </c>
    </row>
    <row r="97" spans="1:26" x14ac:dyDescent="0.35">
      <c r="A97" s="4" t="s">
        <v>312</v>
      </c>
      <c r="B97" s="4" t="s">
        <v>15</v>
      </c>
      <c r="C97" s="4" t="s">
        <v>58</v>
      </c>
      <c r="D97" s="4" t="s">
        <v>312</v>
      </c>
      <c r="E97" s="4" t="s">
        <v>313</v>
      </c>
      <c r="F97" s="4" t="s">
        <v>314</v>
      </c>
      <c r="G97" s="4" t="s">
        <v>527</v>
      </c>
      <c r="H97" s="4" t="s">
        <v>20</v>
      </c>
      <c r="I97" s="5">
        <v>46229</v>
      </c>
      <c r="J97" s="4">
        <v>200</v>
      </c>
      <c r="K97" s="7">
        <v>37.687532281314198</v>
      </c>
      <c r="L97" s="7">
        <v>60.300051650102716</v>
      </c>
      <c r="M97" s="4">
        <v>500</v>
      </c>
      <c r="N97" s="4">
        <v>0</v>
      </c>
      <c r="O97" s="4">
        <v>28</v>
      </c>
      <c r="P97" s="7">
        <v>0</v>
      </c>
      <c r="Q97" s="4">
        <v>80</v>
      </c>
      <c r="R97" s="5">
        <v>46219.458333333299</v>
      </c>
      <c r="S97" s="9" t="s">
        <v>530</v>
      </c>
      <c r="T97" s="10">
        <v>3.46</v>
      </c>
      <c r="U97" s="10"/>
      <c r="V97" s="10"/>
      <c r="W97" s="13"/>
      <c r="X97" s="13"/>
      <c r="Y97" s="10">
        <f>+J97-V97</f>
        <v>200</v>
      </c>
      <c r="Z97" s="10"/>
    </row>
    <row r="98" spans="1:26" x14ac:dyDescent="0.35">
      <c r="A98" s="4" t="s">
        <v>315</v>
      </c>
      <c r="B98" s="4" t="s">
        <v>15</v>
      </c>
      <c r="C98" s="4" t="s">
        <v>27</v>
      </c>
      <c r="D98" s="4" t="s">
        <v>315</v>
      </c>
      <c r="E98" s="4" t="s">
        <v>316</v>
      </c>
      <c r="F98" s="4" t="s">
        <v>317</v>
      </c>
      <c r="G98" s="4" t="s">
        <v>25</v>
      </c>
      <c r="H98" s="4" t="s">
        <v>20</v>
      </c>
      <c r="I98" s="5">
        <v>46229</v>
      </c>
      <c r="J98" s="4">
        <v>600</v>
      </c>
      <c r="K98" s="7">
        <v>118.68805610150835</v>
      </c>
      <c r="L98" s="7">
        <v>189.90088976241339</v>
      </c>
      <c r="M98" s="4">
        <v>1000</v>
      </c>
      <c r="N98" s="4">
        <v>148.37</v>
      </c>
      <c r="O98" s="4">
        <v>28</v>
      </c>
      <c r="P98" s="7">
        <v>5.2989285714285712</v>
      </c>
      <c r="Q98" s="4">
        <v>315</v>
      </c>
      <c r="R98" s="5">
        <v>46224.541666666701</v>
      </c>
      <c r="S98" s="9">
        <v>2.2272727272727271</v>
      </c>
      <c r="T98" s="10">
        <v>1.96</v>
      </c>
      <c r="U98" s="10"/>
      <c r="V98" s="10"/>
      <c r="W98" s="13"/>
      <c r="X98" s="13"/>
      <c r="Y98" s="10"/>
      <c r="Z98" s="9">
        <v>600</v>
      </c>
    </row>
    <row r="99" spans="1:26" x14ac:dyDescent="0.35">
      <c r="A99" s="4" t="s">
        <v>318</v>
      </c>
      <c r="B99" s="4" t="s">
        <v>15</v>
      </c>
      <c r="C99" s="4" t="s">
        <v>136</v>
      </c>
      <c r="D99" s="4" t="s">
        <v>318</v>
      </c>
      <c r="E99" s="4" t="s">
        <v>319</v>
      </c>
      <c r="F99" s="4" t="s">
        <v>320</v>
      </c>
      <c r="G99" s="4" t="s">
        <v>25</v>
      </c>
      <c r="H99" s="4" t="s">
        <v>20</v>
      </c>
      <c r="I99" s="5">
        <v>46229</v>
      </c>
      <c r="J99" s="4">
        <v>750</v>
      </c>
      <c r="K99" s="7">
        <v>634.49441147529853</v>
      </c>
      <c r="L99" s="7">
        <v>1015.1910583604777</v>
      </c>
      <c r="M99" s="4">
        <v>1000</v>
      </c>
      <c r="N99" s="4">
        <v>659.11</v>
      </c>
      <c r="O99" s="4">
        <v>28</v>
      </c>
      <c r="P99" s="7">
        <v>23.539642857142859</v>
      </c>
      <c r="Q99" s="4">
        <v>358</v>
      </c>
      <c r="R99" s="5">
        <v>46224.6027777778</v>
      </c>
      <c r="S99" s="9">
        <v>2.8666666666666667</v>
      </c>
      <c r="T99" s="10">
        <v>2.09</v>
      </c>
      <c r="U99" s="10"/>
      <c r="V99" s="10">
        <v>200</v>
      </c>
      <c r="W99" s="13"/>
      <c r="X99" s="13"/>
      <c r="Y99" s="10"/>
      <c r="Z99" s="9">
        <v>550</v>
      </c>
    </row>
    <row r="100" spans="1:26" x14ac:dyDescent="0.35">
      <c r="A100" s="4" t="s">
        <v>321</v>
      </c>
      <c r="B100" s="4" t="s">
        <v>15</v>
      </c>
      <c r="C100" s="4" t="s">
        <v>136</v>
      </c>
      <c r="D100" s="4" t="s">
        <v>321</v>
      </c>
      <c r="E100" s="4" t="s">
        <v>322</v>
      </c>
      <c r="F100" s="4" t="s">
        <v>323</v>
      </c>
      <c r="G100" s="4" t="s">
        <v>25</v>
      </c>
      <c r="H100" s="4" t="s">
        <v>20</v>
      </c>
      <c r="I100" s="5">
        <v>46229</v>
      </c>
      <c r="J100" s="4">
        <v>850</v>
      </c>
      <c r="K100" s="7">
        <v>645.9105041060094</v>
      </c>
      <c r="L100" s="7">
        <v>1033.4568065696151</v>
      </c>
      <c r="M100" s="4">
        <v>1000</v>
      </c>
      <c r="N100" s="4">
        <v>595.78</v>
      </c>
      <c r="O100" s="4">
        <v>28</v>
      </c>
      <c r="P100" s="7">
        <v>21.27785714285714</v>
      </c>
      <c r="Q100" s="4">
        <v>384</v>
      </c>
      <c r="R100" s="5">
        <v>46221.784722222197</v>
      </c>
      <c r="S100" s="9">
        <v>2.16</v>
      </c>
      <c r="T100" s="10">
        <v>2.09</v>
      </c>
      <c r="U100" s="10"/>
      <c r="V100" s="10">
        <v>200</v>
      </c>
      <c r="W100" s="13"/>
      <c r="X100" s="13"/>
      <c r="Y100" s="10"/>
      <c r="Z100" s="9">
        <v>650</v>
      </c>
    </row>
    <row r="101" spans="1:26" x14ac:dyDescent="0.35">
      <c r="A101" s="4" t="s">
        <v>324</v>
      </c>
      <c r="B101" s="4" t="s">
        <v>15</v>
      </c>
      <c r="C101" s="4" t="s">
        <v>58</v>
      </c>
      <c r="D101" s="4" t="s">
        <v>324</v>
      </c>
      <c r="E101" s="4" t="s">
        <v>325</v>
      </c>
      <c r="F101" s="4" t="s">
        <v>326</v>
      </c>
      <c r="G101" s="4" t="s">
        <v>25</v>
      </c>
      <c r="H101" s="4" t="s">
        <v>20</v>
      </c>
      <c r="I101" s="5">
        <v>46229</v>
      </c>
      <c r="J101" s="4">
        <v>0</v>
      </c>
      <c r="K101" s="7">
        <v>104.70980454345668</v>
      </c>
      <c r="L101" s="7">
        <v>167.53568726953071</v>
      </c>
      <c r="M101" s="4">
        <v>100</v>
      </c>
      <c r="N101" s="4">
        <v>36.61</v>
      </c>
      <c r="O101" s="4">
        <v>28</v>
      </c>
      <c r="P101" s="7">
        <v>1.3074999999999999</v>
      </c>
      <c r="Q101" s="4">
        <v>102</v>
      </c>
      <c r="R101" s="5">
        <v>46224.375</v>
      </c>
      <c r="S101" s="9">
        <v>3.5555555555555554</v>
      </c>
      <c r="T101" s="10">
        <v>3.74</v>
      </c>
      <c r="U101" s="10"/>
      <c r="V101" s="10"/>
      <c r="W101" s="13">
        <f t="shared" si="1"/>
        <v>0</v>
      </c>
      <c r="X101" s="13"/>
      <c r="Y101" s="10"/>
      <c r="Z101" s="10"/>
    </row>
    <row r="102" spans="1:26" x14ac:dyDescent="0.35">
      <c r="A102" s="4" t="s">
        <v>327</v>
      </c>
      <c r="B102" s="4" t="s">
        <v>15</v>
      </c>
      <c r="C102" s="4" t="s">
        <v>27</v>
      </c>
      <c r="D102" s="4" t="s">
        <v>327</v>
      </c>
      <c r="E102" s="4" t="s">
        <v>328</v>
      </c>
      <c r="F102" s="4" t="s">
        <v>329</v>
      </c>
      <c r="G102" s="4" t="s">
        <v>330</v>
      </c>
      <c r="H102" s="4" t="s">
        <v>20</v>
      </c>
      <c r="I102" s="5">
        <v>46229</v>
      </c>
      <c r="J102" s="4">
        <v>500</v>
      </c>
      <c r="K102" s="7">
        <v>376.40927449556239</v>
      </c>
      <c r="L102" s="7">
        <v>602.25483919289979</v>
      </c>
      <c r="M102" s="4">
        <v>1000</v>
      </c>
      <c r="N102" s="4">
        <v>379.51</v>
      </c>
      <c r="O102" s="4">
        <v>28</v>
      </c>
      <c r="P102" s="7">
        <v>13.553928571428571</v>
      </c>
      <c r="Q102" s="4">
        <v>301</v>
      </c>
      <c r="R102" s="5">
        <v>46220.416666666701</v>
      </c>
      <c r="S102" s="9">
        <v>3</v>
      </c>
      <c r="T102" s="10">
        <v>1.96</v>
      </c>
      <c r="U102" s="10"/>
      <c r="V102" s="10"/>
      <c r="W102" s="13"/>
      <c r="X102" s="13"/>
      <c r="Y102" s="10"/>
      <c r="Z102" s="9">
        <v>500</v>
      </c>
    </row>
    <row r="103" spans="1:26" x14ac:dyDescent="0.35">
      <c r="A103" s="4" t="s">
        <v>331</v>
      </c>
      <c r="B103" s="4" t="s">
        <v>15</v>
      </c>
      <c r="C103" s="4" t="s">
        <v>22</v>
      </c>
      <c r="D103" s="4" t="s">
        <v>331</v>
      </c>
      <c r="E103" s="4" t="s">
        <v>291</v>
      </c>
      <c r="F103" s="4" t="s">
        <v>332</v>
      </c>
      <c r="G103" s="4" t="s">
        <v>25</v>
      </c>
      <c r="H103" s="4" t="s">
        <v>20</v>
      </c>
      <c r="I103" s="5">
        <v>46229</v>
      </c>
      <c r="J103" s="4">
        <v>100</v>
      </c>
      <c r="K103" s="7">
        <v>60.703643624759273</v>
      </c>
      <c r="L103" s="7">
        <v>97.125829799614849</v>
      </c>
      <c r="M103" s="4">
        <v>500</v>
      </c>
      <c r="N103" s="4">
        <v>0</v>
      </c>
      <c r="O103" s="4">
        <v>28</v>
      </c>
      <c r="P103" s="7">
        <v>0</v>
      </c>
      <c r="Q103" s="4">
        <v>208.6</v>
      </c>
      <c r="R103" s="5">
        <v>46212.666666666701</v>
      </c>
      <c r="S103" s="9">
        <v>5.5</v>
      </c>
      <c r="T103" s="10">
        <v>5.43</v>
      </c>
      <c r="U103" s="10"/>
      <c r="V103" s="10"/>
      <c r="W103" s="13">
        <f t="shared" si="1"/>
        <v>100</v>
      </c>
      <c r="X103" s="13"/>
      <c r="Y103" s="10"/>
      <c r="Z103" s="10"/>
    </row>
    <row r="104" spans="1:26" x14ac:dyDescent="0.35">
      <c r="A104" s="4" t="s">
        <v>333</v>
      </c>
      <c r="B104" s="4" t="s">
        <v>15</v>
      </c>
      <c r="C104" s="4" t="s">
        <v>27</v>
      </c>
      <c r="D104" s="4" t="s">
        <v>333</v>
      </c>
      <c r="E104" s="4" t="s">
        <v>334</v>
      </c>
      <c r="F104" s="4" t="s">
        <v>335</v>
      </c>
      <c r="G104" s="4" t="s">
        <v>336</v>
      </c>
      <c r="H104" s="4" t="s">
        <v>43</v>
      </c>
      <c r="I104" s="5">
        <v>46229</v>
      </c>
      <c r="J104" s="4">
        <v>750</v>
      </c>
      <c r="K104" s="7">
        <v>1022.9491715769726</v>
      </c>
      <c r="L104" s="7">
        <v>1636.7186745231563</v>
      </c>
      <c r="M104" s="4">
        <v>1500</v>
      </c>
      <c r="N104" s="4">
        <v>661.56</v>
      </c>
      <c r="O104" s="4">
        <v>28</v>
      </c>
      <c r="P104" s="7">
        <v>23.627142857142854</v>
      </c>
      <c r="Q104" s="4">
        <v>660</v>
      </c>
      <c r="R104" s="5">
        <v>46226.458333333299</v>
      </c>
      <c r="S104" s="9">
        <v>2.8125</v>
      </c>
      <c r="T104" s="10">
        <v>3.31</v>
      </c>
      <c r="U104" s="10"/>
      <c r="V104" s="10">
        <v>100</v>
      </c>
      <c r="W104" s="13"/>
      <c r="X104" s="13"/>
      <c r="Y104" s="10"/>
      <c r="Z104" s="9">
        <v>650</v>
      </c>
    </row>
    <row r="105" spans="1:26" x14ac:dyDescent="0.35">
      <c r="A105" s="4" t="s">
        <v>337</v>
      </c>
      <c r="B105" s="4" t="s">
        <v>15</v>
      </c>
      <c r="C105" s="4" t="s">
        <v>22</v>
      </c>
      <c r="D105" s="4" t="s">
        <v>337</v>
      </c>
      <c r="E105" s="4" t="s">
        <v>338</v>
      </c>
      <c r="F105" s="4" t="s">
        <v>339</v>
      </c>
      <c r="G105" s="4" t="s">
        <v>25</v>
      </c>
      <c r="H105" s="4" t="s">
        <v>20</v>
      </c>
      <c r="I105" s="5">
        <v>46229</v>
      </c>
      <c r="J105" s="4">
        <v>700</v>
      </c>
      <c r="K105" s="7">
        <v>1017.8189733123116</v>
      </c>
      <c r="L105" s="7">
        <v>1628.5103572996986</v>
      </c>
      <c r="M105" s="4">
        <v>1000</v>
      </c>
      <c r="N105" s="4">
        <v>109.11</v>
      </c>
      <c r="O105" s="4">
        <v>28</v>
      </c>
      <c r="P105" s="7">
        <v>3.8967857142857141</v>
      </c>
      <c r="Q105" s="4">
        <v>369</v>
      </c>
      <c r="R105" s="5">
        <v>46221.388888888898</v>
      </c>
      <c r="S105" s="9">
        <v>5.25</v>
      </c>
      <c r="T105" s="10">
        <v>4.99</v>
      </c>
      <c r="U105" s="10" t="s">
        <v>549</v>
      </c>
      <c r="V105" s="10"/>
      <c r="W105" s="13">
        <v>360</v>
      </c>
      <c r="X105" s="13"/>
      <c r="Y105" s="10">
        <v>340</v>
      </c>
      <c r="Z105" s="10"/>
    </row>
    <row r="106" spans="1:26" x14ac:dyDescent="0.35">
      <c r="A106" s="4" t="s">
        <v>340</v>
      </c>
      <c r="B106" s="4" t="s">
        <v>15</v>
      </c>
      <c r="C106" s="4" t="s">
        <v>22</v>
      </c>
      <c r="D106" s="4" t="s">
        <v>340</v>
      </c>
      <c r="E106" s="4" t="s">
        <v>341</v>
      </c>
      <c r="F106" s="4" t="s">
        <v>342</v>
      </c>
      <c r="G106" s="4" t="s">
        <v>527</v>
      </c>
      <c r="H106" s="4" t="s">
        <v>20</v>
      </c>
      <c r="I106" s="5">
        <v>46229</v>
      </c>
      <c r="J106" s="4">
        <v>100</v>
      </c>
      <c r="K106" s="7">
        <v>44.832227510179351</v>
      </c>
      <c r="L106" s="7">
        <v>71.731564016286967</v>
      </c>
      <c r="M106" s="4">
        <v>500</v>
      </c>
      <c r="N106" s="4">
        <v>2.04</v>
      </c>
      <c r="O106" s="4">
        <v>28</v>
      </c>
      <c r="P106" s="7">
        <v>7.2857142857142856E-2</v>
      </c>
      <c r="Q106" s="4">
        <v>166</v>
      </c>
      <c r="R106" s="5">
        <v>46223.694444444503</v>
      </c>
      <c r="S106" s="9">
        <v>3.4</v>
      </c>
      <c r="T106" s="10">
        <v>3.6</v>
      </c>
      <c r="U106" s="10"/>
      <c r="V106" s="10"/>
      <c r="W106" s="13">
        <f t="shared" si="1"/>
        <v>100</v>
      </c>
      <c r="X106" s="13"/>
      <c r="Y106" s="10"/>
      <c r="Z106" s="10"/>
    </row>
    <row r="107" spans="1:26" x14ac:dyDescent="0.35">
      <c r="A107" s="4" t="s">
        <v>343</v>
      </c>
      <c r="B107" s="4" t="s">
        <v>15</v>
      </c>
      <c r="C107" s="4" t="s">
        <v>136</v>
      </c>
      <c r="D107" s="4" t="s">
        <v>343</v>
      </c>
      <c r="E107" s="4" t="s">
        <v>344</v>
      </c>
      <c r="F107" s="4" t="s">
        <v>345</v>
      </c>
      <c r="G107" s="4" t="s">
        <v>25</v>
      </c>
      <c r="H107" s="4" t="s">
        <v>20</v>
      </c>
      <c r="I107" s="5">
        <v>46229</v>
      </c>
      <c r="J107" s="4">
        <v>500</v>
      </c>
      <c r="K107" s="7">
        <v>143.20641557208711</v>
      </c>
      <c r="L107" s="7">
        <v>229.13026491533938</v>
      </c>
      <c r="M107" s="4">
        <v>650</v>
      </c>
      <c r="N107" s="4">
        <v>99.74</v>
      </c>
      <c r="O107" s="4">
        <v>28</v>
      </c>
      <c r="P107" s="7">
        <v>3.5621428571428568</v>
      </c>
      <c r="Q107" s="4">
        <v>100</v>
      </c>
      <c r="R107" s="5">
        <v>46219.868750000001</v>
      </c>
      <c r="S107" s="9">
        <v>2.8666666666666667</v>
      </c>
      <c r="T107" s="10">
        <v>2.09</v>
      </c>
      <c r="U107" s="10" t="s">
        <v>542</v>
      </c>
      <c r="V107" s="10">
        <v>200</v>
      </c>
      <c r="W107" s="13"/>
      <c r="X107" s="13"/>
      <c r="Y107" s="10"/>
      <c r="Z107" s="9">
        <v>300</v>
      </c>
    </row>
    <row r="108" spans="1:26" x14ac:dyDescent="0.35">
      <c r="A108" s="4" t="s">
        <v>346</v>
      </c>
      <c r="B108" s="4" t="s">
        <v>15</v>
      </c>
      <c r="C108" s="4" t="s">
        <v>40</v>
      </c>
      <c r="D108" s="4" t="s">
        <v>346</v>
      </c>
      <c r="E108" s="4" t="s">
        <v>347</v>
      </c>
      <c r="F108" s="4" t="s">
        <v>348</v>
      </c>
      <c r="G108" s="4" t="s">
        <v>25</v>
      </c>
      <c r="H108" s="4" t="s">
        <v>53</v>
      </c>
      <c r="I108" s="5">
        <v>46229</v>
      </c>
      <c r="J108" s="4">
        <v>140</v>
      </c>
      <c r="K108" s="7">
        <v>145.96654822181898</v>
      </c>
      <c r="L108" s="7">
        <v>233.54647715491038</v>
      </c>
      <c r="M108" s="4">
        <v>600</v>
      </c>
      <c r="N108" s="4">
        <v>51.87</v>
      </c>
      <c r="O108" s="4">
        <v>28</v>
      </c>
      <c r="P108" s="7">
        <v>1.8524999999999998</v>
      </c>
      <c r="Q108" s="4">
        <v>223.4</v>
      </c>
      <c r="R108" s="5">
        <v>46215.680555555598</v>
      </c>
      <c r="S108" s="9">
        <v>2.5</v>
      </c>
      <c r="T108" s="10">
        <v>3.89</v>
      </c>
      <c r="U108" s="10"/>
      <c r="V108" s="10"/>
      <c r="W108" s="13"/>
      <c r="X108" s="13"/>
      <c r="Y108" s="10">
        <v>140</v>
      </c>
      <c r="Z108" s="10"/>
    </row>
    <row r="109" spans="1:26" x14ac:dyDescent="0.35">
      <c r="A109" s="4" t="s">
        <v>349</v>
      </c>
      <c r="B109" s="4" t="s">
        <v>15</v>
      </c>
      <c r="C109" s="4" t="s">
        <v>40</v>
      </c>
      <c r="D109" s="4" t="s">
        <v>349</v>
      </c>
      <c r="E109" s="4" t="s">
        <v>350</v>
      </c>
      <c r="F109" s="4" t="s">
        <v>351</v>
      </c>
      <c r="G109" s="4" t="s">
        <v>25</v>
      </c>
      <c r="H109" s="4" t="s">
        <v>20</v>
      </c>
      <c r="I109" s="5">
        <v>46229</v>
      </c>
      <c r="J109" s="4">
        <v>220</v>
      </c>
      <c r="K109" s="7">
        <v>264.34052521985097</v>
      </c>
      <c r="L109" s="7">
        <v>422.94484035176157</v>
      </c>
      <c r="M109" s="4">
        <v>500</v>
      </c>
      <c r="N109" s="4">
        <v>65.75</v>
      </c>
      <c r="O109" s="4">
        <v>28</v>
      </c>
      <c r="P109" s="7">
        <v>2.3482142857142856</v>
      </c>
      <c r="Q109" s="4">
        <v>220</v>
      </c>
      <c r="R109" s="5">
        <v>46214.583333333299</v>
      </c>
      <c r="S109" s="9">
        <v>5.4</v>
      </c>
      <c r="T109" s="10">
        <v>4.34</v>
      </c>
      <c r="U109" s="10"/>
      <c r="V109" s="10"/>
      <c r="W109" s="13"/>
      <c r="X109" s="13"/>
      <c r="Y109" s="10">
        <v>220</v>
      </c>
      <c r="Z109" s="10"/>
    </row>
    <row r="110" spans="1:26" x14ac:dyDescent="0.35">
      <c r="A110" s="4" t="s">
        <v>352</v>
      </c>
      <c r="B110" s="4" t="s">
        <v>15</v>
      </c>
      <c r="C110" s="4" t="s">
        <v>136</v>
      </c>
      <c r="D110" s="4" t="s">
        <v>352</v>
      </c>
      <c r="E110" s="4" t="s">
        <v>353</v>
      </c>
      <c r="F110" s="4" t="s">
        <v>354</v>
      </c>
      <c r="G110" s="4" t="s">
        <v>25</v>
      </c>
      <c r="H110" s="4" t="s">
        <v>20</v>
      </c>
      <c r="I110" s="5">
        <v>46229</v>
      </c>
      <c r="J110" s="4">
        <v>100</v>
      </c>
      <c r="K110" s="7">
        <v>77.887436038991581</v>
      </c>
      <c r="L110" s="7">
        <v>124.61989766238653</v>
      </c>
      <c r="M110" s="4">
        <v>1000</v>
      </c>
      <c r="N110" s="4">
        <v>28.3</v>
      </c>
      <c r="O110" s="4">
        <v>28</v>
      </c>
      <c r="P110" s="7">
        <v>1.0107142857142857</v>
      </c>
      <c r="Q110" s="4">
        <v>150</v>
      </c>
      <c r="R110" s="5">
        <v>46204.430555555598</v>
      </c>
      <c r="S110" s="9" t="s">
        <v>530</v>
      </c>
      <c r="T110" s="10">
        <v>1.96</v>
      </c>
      <c r="U110" s="10"/>
      <c r="V110" s="10"/>
      <c r="W110" s="13"/>
      <c r="X110" s="13"/>
      <c r="Y110" s="10"/>
      <c r="Z110" s="9">
        <v>100</v>
      </c>
    </row>
    <row r="111" spans="1:26" x14ac:dyDescent="0.35">
      <c r="A111" s="4" t="s">
        <v>355</v>
      </c>
      <c r="B111" s="4" t="s">
        <v>15</v>
      </c>
      <c r="C111" s="4" t="s">
        <v>40</v>
      </c>
      <c r="D111" s="4" t="s">
        <v>355</v>
      </c>
      <c r="E111" s="4"/>
      <c r="F111" s="4" t="s">
        <v>356</v>
      </c>
      <c r="G111" s="4" t="s">
        <v>527</v>
      </c>
      <c r="H111" s="4"/>
      <c r="I111" s="5">
        <v>46229</v>
      </c>
      <c r="J111" s="4">
        <v>80</v>
      </c>
      <c r="K111" s="7">
        <v>80.34623046837109</v>
      </c>
      <c r="L111" s="7">
        <v>128.55396874939376</v>
      </c>
      <c r="M111" s="4">
        <v>600</v>
      </c>
      <c r="N111" s="4">
        <v>55.64</v>
      </c>
      <c r="O111" s="4">
        <v>28</v>
      </c>
      <c r="P111" s="7">
        <v>1.9871428571428571</v>
      </c>
      <c r="Q111" s="4">
        <v>200</v>
      </c>
      <c r="R111" s="5">
        <v>46214.689583333296</v>
      </c>
      <c r="S111" s="9">
        <v>3</v>
      </c>
      <c r="T111" s="10">
        <v>1.96</v>
      </c>
      <c r="U111" s="10"/>
      <c r="V111" s="10"/>
      <c r="W111" s="13"/>
      <c r="X111" s="13"/>
      <c r="Y111" s="10">
        <v>80</v>
      </c>
      <c r="Z111" s="10"/>
    </row>
    <row r="112" spans="1:26" x14ac:dyDescent="0.35">
      <c r="A112" s="4" t="s">
        <v>357</v>
      </c>
      <c r="B112" s="4" t="s">
        <v>15</v>
      </c>
      <c r="C112" s="4" t="s">
        <v>32</v>
      </c>
      <c r="D112" s="4" t="s">
        <v>357</v>
      </c>
      <c r="E112" s="4" t="s">
        <v>358</v>
      </c>
      <c r="F112" s="4" t="s">
        <v>359</v>
      </c>
      <c r="G112" s="4" t="s">
        <v>25</v>
      </c>
      <c r="H112" s="4" t="s">
        <v>67</v>
      </c>
      <c r="I112" s="5">
        <v>46229</v>
      </c>
      <c r="J112" s="4">
        <v>150</v>
      </c>
      <c r="K112" s="7">
        <v>147.92844820935571</v>
      </c>
      <c r="L112" s="7">
        <v>236.68551713496913</v>
      </c>
      <c r="M112" s="4">
        <v>600</v>
      </c>
      <c r="N112" s="4">
        <v>50.34</v>
      </c>
      <c r="O112" s="4">
        <v>28</v>
      </c>
      <c r="P112" s="7">
        <v>1.797857142857143</v>
      </c>
      <c r="Q112" s="4">
        <v>276</v>
      </c>
      <c r="R112" s="5">
        <v>46224.708333333299</v>
      </c>
      <c r="S112" s="9">
        <v>5</v>
      </c>
      <c r="T112" s="10">
        <v>4.03</v>
      </c>
      <c r="U112" s="10"/>
      <c r="V112" s="10"/>
      <c r="W112" s="13">
        <f t="shared" si="1"/>
        <v>150</v>
      </c>
      <c r="X112" s="13"/>
      <c r="Y112" s="10"/>
      <c r="Z112" s="10"/>
    </row>
    <row r="113" spans="1:26" x14ac:dyDescent="0.35">
      <c r="A113" s="4" t="s">
        <v>360</v>
      </c>
      <c r="B113" s="4" t="s">
        <v>15</v>
      </c>
      <c r="C113" s="4" t="s">
        <v>136</v>
      </c>
      <c r="D113" s="4" t="s">
        <v>360</v>
      </c>
      <c r="E113" s="4" t="s">
        <v>361</v>
      </c>
      <c r="F113" s="4" t="s">
        <v>362</v>
      </c>
      <c r="G113" s="4" t="s">
        <v>25</v>
      </c>
      <c r="H113" s="4" t="s">
        <v>20</v>
      </c>
      <c r="I113" s="5">
        <v>46229</v>
      </c>
      <c r="J113" s="4">
        <v>650</v>
      </c>
      <c r="K113" s="7">
        <v>662.25934397950402</v>
      </c>
      <c r="L113" s="7">
        <v>1059.6149503672066</v>
      </c>
      <c r="M113" s="4">
        <v>1500</v>
      </c>
      <c r="N113" s="4">
        <v>591.02</v>
      </c>
      <c r="O113" s="4">
        <v>28</v>
      </c>
      <c r="P113" s="7">
        <v>21.107857142857142</v>
      </c>
      <c r="Q113" s="4">
        <v>181</v>
      </c>
      <c r="R113" s="5">
        <v>46213.75</v>
      </c>
      <c r="S113" s="9">
        <v>2.2916666666666665</v>
      </c>
      <c r="T113" s="10">
        <v>2.4</v>
      </c>
      <c r="U113" s="10"/>
      <c r="V113" s="10"/>
      <c r="W113" s="13"/>
      <c r="X113" s="13"/>
      <c r="Y113" s="10"/>
      <c r="Z113" s="9">
        <v>650</v>
      </c>
    </row>
    <row r="114" spans="1:26" x14ac:dyDescent="0.35">
      <c r="A114" s="4" t="s">
        <v>363</v>
      </c>
      <c r="B114" s="4" t="s">
        <v>15</v>
      </c>
      <c r="C114" s="4" t="s">
        <v>32</v>
      </c>
      <c r="D114" s="4" t="s">
        <v>363</v>
      </c>
      <c r="E114" s="4" t="s">
        <v>364</v>
      </c>
      <c r="F114" s="4" t="s">
        <v>365</v>
      </c>
      <c r="G114" s="4" t="s">
        <v>25</v>
      </c>
      <c r="H114" s="4" t="s">
        <v>20</v>
      </c>
      <c r="I114" s="5">
        <v>46229</v>
      </c>
      <c r="J114" s="4">
        <v>150</v>
      </c>
      <c r="K114" s="7">
        <v>37.349539520281475</v>
      </c>
      <c r="L114" s="7">
        <v>59.759263232450365</v>
      </c>
      <c r="M114" s="4">
        <v>1000</v>
      </c>
      <c r="N114" s="4">
        <v>0</v>
      </c>
      <c r="O114" s="4">
        <v>28</v>
      </c>
      <c r="P114" s="7">
        <v>0</v>
      </c>
      <c r="Q114" s="4" t="s">
        <v>134</v>
      </c>
      <c r="R114" s="5"/>
      <c r="S114" s="9" t="s">
        <v>530</v>
      </c>
      <c r="T114" s="10">
        <v>3.31</v>
      </c>
      <c r="U114" s="10"/>
      <c r="V114" s="10"/>
      <c r="W114" s="13"/>
      <c r="X114" s="13"/>
      <c r="Y114" s="10">
        <v>150</v>
      </c>
      <c r="Z114" s="10"/>
    </row>
    <row r="115" spans="1:26" x14ac:dyDescent="0.35">
      <c r="A115" s="4" t="s">
        <v>366</v>
      </c>
      <c r="B115" s="4" t="s">
        <v>15</v>
      </c>
      <c r="C115" s="4" t="s">
        <v>16</v>
      </c>
      <c r="D115" s="4" t="s">
        <v>366</v>
      </c>
      <c r="E115" s="4" t="s">
        <v>367</v>
      </c>
      <c r="F115" s="4" t="s">
        <v>368</v>
      </c>
      <c r="G115" s="4" t="s">
        <v>38</v>
      </c>
      <c r="H115" s="4" t="s">
        <v>20</v>
      </c>
      <c r="I115" s="5">
        <v>46229</v>
      </c>
      <c r="J115" s="4">
        <v>800</v>
      </c>
      <c r="K115" s="7">
        <v>679.90579379593544</v>
      </c>
      <c r="L115" s="7">
        <v>1087.8492700734967</v>
      </c>
      <c r="M115" s="4">
        <v>1000</v>
      </c>
      <c r="N115" s="4">
        <v>602.97</v>
      </c>
      <c r="O115" s="4">
        <v>28</v>
      </c>
      <c r="P115" s="7">
        <v>21.53464285714286</v>
      </c>
      <c r="Q115" s="4">
        <v>269</v>
      </c>
      <c r="R115" s="5">
        <v>46224.708333333299</v>
      </c>
      <c r="S115" s="9">
        <v>1.8860759493670887</v>
      </c>
      <c r="T115" s="10">
        <v>2.2000000000000002</v>
      </c>
      <c r="U115" s="10" t="s">
        <v>536</v>
      </c>
      <c r="V115" s="10">
        <v>200</v>
      </c>
      <c r="W115" s="13"/>
      <c r="X115" s="13"/>
      <c r="Y115" s="10">
        <v>500</v>
      </c>
      <c r="Z115" s="9">
        <v>600</v>
      </c>
    </row>
    <row r="116" spans="1:26" x14ac:dyDescent="0.35">
      <c r="A116" s="4" t="s">
        <v>369</v>
      </c>
      <c r="B116" s="4" t="s">
        <v>15</v>
      </c>
      <c r="C116" s="4" t="s">
        <v>22</v>
      </c>
      <c r="D116" s="4" t="s">
        <v>369</v>
      </c>
      <c r="E116" s="4" t="s">
        <v>370</v>
      </c>
      <c r="F116" s="4" t="s">
        <v>371</v>
      </c>
      <c r="G116" s="4" t="s">
        <v>25</v>
      </c>
      <c r="H116" s="4" t="s">
        <v>20</v>
      </c>
      <c r="I116" s="5">
        <v>46229</v>
      </c>
      <c r="J116" s="4">
        <v>100</v>
      </c>
      <c r="K116" s="7">
        <v>75.323905016545098</v>
      </c>
      <c r="L116" s="7">
        <v>120.51824802647216</v>
      </c>
      <c r="M116" s="4">
        <v>500</v>
      </c>
      <c r="N116" s="4">
        <v>12.9</v>
      </c>
      <c r="O116" s="4">
        <v>28</v>
      </c>
      <c r="P116" s="7">
        <v>0.46071428571428574</v>
      </c>
      <c r="Q116" s="4">
        <v>72.5</v>
      </c>
      <c r="R116" s="5">
        <v>46225.694444444503</v>
      </c>
      <c r="S116" s="9">
        <v>2.6</v>
      </c>
      <c r="T116" s="10">
        <v>2.61</v>
      </c>
      <c r="U116" s="10"/>
      <c r="V116" s="10"/>
      <c r="W116" s="13"/>
      <c r="X116" s="13"/>
      <c r="Y116" s="10">
        <v>100</v>
      </c>
      <c r="Z116" s="10"/>
    </row>
    <row r="117" spans="1:26" x14ac:dyDescent="0.35">
      <c r="A117" s="4" t="s">
        <v>372</v>
      </c>
      <c r="B117" s="4" t="s">
        <v>15</v>
      </c>
      <c r="C117" s="4" t="s">
        <v>40</v>
      </c>
      <c r="D117" s="4" t="s">
        <v>372</v>
      </c>
      <c r="E117" s="4" t="s">
        <v>373</v>
      </c>
      <c r="F117" s="4" t="s">
        <v>374</v>
      </c>
      <c r="G117" s="4" t="s">
        <v>25</v>
      </c>
      <c r="H117" s="4" t="s">
        <v>43</v>
      </c>
      <c r="I117" s="5">
        <v>46229</v>
      </c>
      <c r="J117" s="4">
        <v>120</v>
      </c>
      <c r="K117" s="7">
        <v>107.30836391979157</v>
      </c>
      <c r="L117" s="7">
        <v>171.69338227166654</v>
      </c>
      <c r="M117" s="4">
        <v>600</v>
      </c>
      <c r="N117" s="4">
        <v>0</v>
      </c>
      <c r="O117" s="4">
        <v>28</v>
      </c>
      <c r="P117" s="7">
        <v>0</v>
      </c>
      <c r="Q117" s="4">
        <v>277.5</v>
      </c>
      <c r="R117" s="5">
        <v>46220.631944444503</v>
      </c>
      <c r="S117" s="9">
        <v>2</v>
      </c>
      <c r="T117" s="10">
        <v>3.17</v>
      </c>
      <c r="U117" s="10"/>
      <c r="V117" s="10"/>
      <c r="W117" s="13"/>
      <c r="X117" s="13"/>
      <c r="Y117" s="10">
        <v>120</v>
      </c>
      <c r="Z117" s="10"/>
    </row>
    <row r="118" spans="1:26" x14ac:dyDescent="0.35">
      <c r="A118" s="4" t="s">
        <v>375</v>
      </c>
      <c r="B118" s="4" t="s">
        <v>15</v>
      </c>
      <c r="C118" s="4" t="s">
        <v>27</v>
      </c>
      <c r="D118" s="4" t="s">
        <v>375</v>
      </c>
      <c r="E118" s="4" t="s">
        <v>376</v>
      </c>
      <c r="F118" s="4" t="s">
        <v>377</v>
      </c>
      <c r="G118" s="4" t="s">
        <v>25</v>
      </c>
      <c r="H118" s="4" t="s">
        <v>20</v>
      </c>
      <c r="I118" s="5">
        <v>46229</v>
      </c>
      <c r="J118" s="4">
        <v>400</v>
      </c>
      <c r="K118" s="7">
        <v>176.2904380981187</v>
      </c>
      <c r="L118" s="7">
        <v>282.06470095698995</v>
      </c>
      <c r="M118" s="4">
        <v>1500</v>
      </c>
      <c r="N118" s="4">
        <v>224.29</v>
      </c>
      <c r="O118" s="4">
        <v>28</v>
      </c>
      <c r="P118" s="7">
        <v>8.0103571428571421</v>
      </c>
      <c r="Q118" s="4">
        <v>291</v>
      </c>
      <c r="R118" s="5">
        <v>46225.416666666701</v>
      </c>
      <c r="S118" s="9">
        <v>1.5652173913043479</v>
      </c>
      <c r="T118" s="10">
        <v>1.96</v>
      </c>
      <c r="U118" s="10"/>
      <c r="V118" s="10"/>
      <c r="W118" s="13"/>
      <c r="X118" s="13"/>
      <c r="Y118" s="10"/>
      <c r="Z118" s="9">
        <v>400</v>
      </c>
    </row>
    <row r="119" spans="1:26" x14ac:dyDescent="0.35">
      <c r="A119" s="4" t="s">
        <v>378</v>
      </c>
      <c r="B119" s="4" t="s">
        <v>15</v>
      </c>
      <c r="C119" s="4" t="s">
        <v>27</v>
      </c>
      <c r="D119" s="4" t="s">
        <v>378</v>
      </c>
      <c r="E119" s="4" t="s">
        <v>379</v>
      </c>
      <c r="F119" s="4" t="s">
        <v>380</v>
      </c>
      <c r="G119" s="4" t="s">
        <v>25</v>
      </c>
      <c r="H119" s="4" t="s">
        <v>20</v>
      </c>
      <c r="I119" s="5">
        <v>46229</v>
      </c>
      <c r="J119" s="4">
        <v>300</v>
      </c>
      <c r="K119" s="7">
        <v>118.0972058138575</v>
      </c>
      <c r="L119" s="7">
        <v>188.95552930217201</v>
      </c>
      <c r="M119" s="4">
        <v>1000</v>
      </c>
      <c r="N119" s="4">
        <v>65.13</v>
      </c>
      <c r="O119" s="4">
        <v>28</v>
      </c>
      <c r="P119" s="7">
        <v>2.3260714285714283</v>
      </c>
      <c r="Q119" s="4">
        <v>242</v>
      </c>
      <c r="R119" s="5">
        <v>46225.416666666701</v>
      </c>
      <c r="S119" s="9">
        <v>2</v>
      </c>
      <c r="T119" s="10">
        <v>2.0499999999999998</v>
      </c>
      <c r="U119" s="10"/>
      <c r="V119" s="10"/>
      <c r="W119" s="13"/>
      <c r="X119" s="13"/>
      <c r="Y119" s="10"/>
      <c r="Z119" s="9">
        <v>300</v>
      </c>
    </row>
    <row r="120" spans="1:26" x14ac:dyDescent="0.35">
      <c r="A120" s="4" t="s">
        <v>381</v>
      </c>
      <c r="B120" s="4" t="s">
        <v>15</v>
      </c>
      <c r="C120" s="4" t="s">
        <v>40</v>
      </c>
      <c r="D120" s="4" t="s">
        <v>381</v>
      </c>
      <c r="E120" s="4" t="s">
        <v>382</v>
      </c>
      <c r="F120" s="4" t="s">
        <v>383</v>
      </c>
      <c r="G120" s="4" t="s">
        <v>25</v>
      </c>
      <c r="H120" s="4" t="s">
        <v>20</v>
      </c>
      <c r="I120" s="5">
        <v>46229</v>
      </c>
      <c r="J120" s="4">
        <v>100</v>
      </c>
      <c r="K120" s="7">
        <v>99.999859410690561</v>
      </c>
      <c r="L120" s="7">
        <v>159.9997750571049</v>
      </c>
      <c r="M120" s="4">
        <v>500</v>
      </c>
      <c r="N120" s="4">
        <v>26.36</v>
      </c>
      <c r="O120" s="4">
        <v>28</v>
      </c>
      <c r="P120" s="7">
        <v>0.94142857142857139</v>
      </c>
      <c r="Q120" s="4">
        <v>326</v>
      </c>
      <c r="R120" s="5">
        <v>46200.625</v>
      </c>
      <c r="S120" s="9">
        <v>2.5</v>
      </c>
      <c r="T120" s="10">
        <v>2.61</v>
      </c>
      <c r="U120" s="10" t="s">
        <v>535</v>
      </c>
      <c r="V120" s="10"/>
      <c r="W120" s="13">
        <f t="shared" si="1"/>
        <v>100</v>
      </c>
      <c r="X120" s="13"/>
      <c r="Y120" s="10"/>
      <c r="Z120" s="10"/>
    </row>
    <row r="121" spans="1:26" x14ac:dyDescent="0.35">
      <c r="A121" s="4" t="s">
        <v>384</v>
      </c>
      <c r="B121" s="4" t="s">
        <v>15</v>
      </c>
      <c r="C121" s="4" t="s">
        <v>40</v>
      </c>
      <c r="D121" s="4" t="s">
        <v>384</v>
      </c>
      <c r="E121" s="4" t="s">
        <v>385</v>
      </c>
      <c r="F121" s="4" t="s">
        <v>386</v>
      </c>
      <c r="G121" s="4" t="s">
        <v>25</v>
      </c>
      <c r="H121" s="4" t="s">
        <v>20</v>
      </c>
      <c r="I121" s="5">
        <v>46229</v>
      </c>
      <c r="J121" s="4">
        <v>0</v>
      </c>
      <c r="K121" s="7">
        <v>244.24233746329111</v>
      </c>
      <c r="L121" s="7">
        <v>390.78773994126578</v>
      </c>
      <c r="M121" s="4">
        <v>500</v>
      </c>
      <c r="N121" s="4">
        <v>26.44</v>
      </c>
      <c r="O121" s="4">
        <v>28</v>
      </c>
      <c r="P121" s="7">
        <v>0.94428571428571428</v>
      </c>
      <c r="Q121" s="4">
        <v>425</v>
      </c>
      <c r="R121" s="5">
        <v>46214.6875</v>
      </c>
      <c r="S121" s="9">
        <v>4.5</v>
      </c>
      <c r="T121" s="10">
        <v>5.52</v>
      </c>
      <c r="U121" s="10"/>
      <c r="V121" s="10"/>
      <c r="W121" s="13">
        <f t="shared" si="1"/>
        <v>0</v>
      </c>
      <c r="X121" s="13"/>
      <c r="Y121" s="10"/>
      <c r="Z121" s="10"/>
    </row>
    <row r="122" spans="1:26" x14ac:dyDescent="0.35">
      <c r="A122" s="4" t="s">
        <v>387</v>
      </c>
      <c r="B122" s="4" t="s">
        <v>15</v>
      </c>
      <c r="C122" s="4" t="s">
        <v>16</v>
      </c>
      <c r="D122" s="4" t="s">
        <v>387</v>
      </c>
      <c r="E122" s="4" t="s">
        <v>388</v>
      </c>
      <c r="F122" s="4" t="s">
        <v>389</v>
      </c>
      <c r="G122" s="4" t="s">
        <v>25</v>
      </c>
      <c r="H122" s="4" t="s">
        <v>390</v>
      </c>
      <c r="I122" s="5">
        <v>46229</v>
      </c>
      <c r="J122" s="4">
        <v>300</v>
      </c>
      <c r="K122" s="7">
        <v>149.9827359340081</v>
      </c>
      <c r="L122" s="7">
        <v>239.97237749441297</v>
      </c>
      <c r="M122" s="4">
        <v>1500</v>
      </c>
      <c r="N122" s="4">
        <v>39.18</v>
      </c>
      <c r="O122" s="4">
        <v>28</v>
      </c>
      <c r="P122" s="7">
        <v>1.3992857142857142</v>
      </c>
      <c r="Q122" s="4">
        <v>297</v>
      </c>
      <c r="R122" s="5">
        <v>46224.8125</v>
      </c>
      <c r="S122" s="9">
        <v>2.5333333333333332</v>
      </c>
      <c r="T122" s="10">
        <v>2.61</v>
      </c>
      <c r="U122" s="10"/>
      <c r="V122" s="10"/>
      <c r="W122" s="13"/>
      <c r="X122" s="13"/>
      <c r="Y122" s="10"/>
      <c r="Z122" s="9">
        <v>300</v>
      </c>
    </row>
    <row r="123" spans="1:26" x14ac:dyDescent="0.35">
      <c r="A123" s="4" t="s">
        <v>391</v>
      </c>
      <c r="B123" s="4" t="s">
        <v>15</v>
      </c>
      <c r="C123" s="4" t="s">
        <v>290</v>
      </c>
      <c r="D123" s="4" t="s">
        <v>391</v>
      </c>
      <c r="E123" s="4" t="s">
        <v>392</v>
      </c>
      <c r="F123" s="4" t="s">
        <v>393</v>
      </c>
      <c r="G123" s="4" t="s">
        <v>25</v>
      </c>
      <c r="H123" s="4" t="s">
        <v>43</v>
      </c>
      <c r="I123" s="5">
        <v>46229</v>
      </c>
      <c r="J123" s="4">
        <v>100</v>
      </c>
      <c r="K123" s="7">
        <v>107.30836391979157</v>
      </c>
      <c r="L123" s="7">
        <v>171.69338227166654</v>
      </c>
      <c r="M123" s="4">
        <v>1000</v>
      </c>
      <c r="N123" s="4">
        <v>55.62</v>
      </c>
      <c r="O123" s="4">
        <v>28</v>
      </c>
      <c r="P123" s="7">
        <v>1.9864285714285714</v>
      </c>
      <c r="Q123" s="4">
        <v>301</v>
      </c>
      <c r="R123" s="5">
        <v>46223.569444444503</v>
      </c>
      <c r="S123" s="9">
        <v>4.3499999999999996</v>
      </c>
      <c r="T123" s="10">
        <v>2.92</v>
      </c>
      <c r="U123" s="10"/>
      <c r="V123" s="10"/>
      <c r="W123" s="13"/>
      <c r="X123" s="13"/>
      <c r="Y123" s="10">
        <v>100</v>
      </c>
      <c r="Z123" s="10"/>
    </row>
    <row r="124" spans="1:26" x14ac:dyDescent="0.35">
      <c r="A124" s="4" t="s">
        <v>394</v>
      </c>
      <c r="B124" s="4" t="s">
        <v>15</v>
      </c>
      <c r="C124" s="4" t="s">
        <v>16</v>
      </c>
      <c r="D124" s="4" t="s">
        <v>394</v>
      </c>
      <c r="E124" s="4" t="s">
        <v>395</v>
      </c>
      <c r="F124" s="4" t="s">
        <v>396</v>
      </c>
      <c r="G124" s="4" t="s">
        <v>25</v>
      </c>
      <c r="H124" s="4" t="s">
        <v>20</v>
      </c>
      <c r="I124" s="5">
        <v>46229</v>
      </c>
      <c r="J124" s="4">
        <v>100</v>
      </c>
      <c r="K124" s="7">
        <v>39.802126852754363</v>
      </c>
      <c r="L124" s="7">
        <v>63.68340296440698</v>
      </c>
      <c r="M124" s="4">
        <v>1000</v>
      </c>
      <c r="N124" s="4">
        <v>0</v>
      </c>
      <c r="O124" s="4">
        <v>28</v>
      </c>
      <c r="P124" s="7">
        <v>0</v>
      </c>
      <c r="Q124" s="4">
        <v>179</v>
      </c>
      <c r="R124" s="5">
        <v>46223.666666666701</v>
      </c>
      <c r="S124" s="9">
        <v>3</v>
      </c>
      <c r="T124" s="10">
        <v>2.61</v>
      </c>
      <c r="U124" s="10"/>
      <c r="V124" s="10"/>
      <c r="W124" s="13"/>
      <c r="X124" s="13"/>
      <c r="Y124" s="10"/>
      <c r="Z124" s="9">
        <v>100</v>
      </c>
    </row>
    <row r="125" spans="1:26" x14ac:dyDescent="0.35">
      <c r="A125" s="4" t="s">
        <v>397</v>
      </c>
      <c r="B125" s="4" t="s">
        <v>15</v>
      </c>
      <c r="C125" s="4" t="s">
        <v>22</v>
      </c>
      <c r="D125" s="4" t="s">
        <v>397</v>
      </c>
      <c r="E125" s="4" t="s">
        <v>398</v>
      </c>
      <c r="F125" s="4" t="s">
        <v>399</v>
      </c>
      <c r="G125" s="4" t="s">
        <v>25</v>
      </c>
      <c r="H125" s="4" t="s">
        <v>43</v>
      </c>
      <c r="I125" s="5">
        <v>46229</v>
      </c>
      <c r="J125" s="4">
        <v>100</v>
      </c>
      <c r="K125" s="7">
        <v>107.30836391979157</v>
      </c>
      <c r="L125" s="7">
        <v>171.69338227166654</v>
      </c>
      <c r="M125" s="4">
        <v>100</v>
      </c>
      <c r="N125" s="4">
        <v>34.15</v>
      </c>
      <c r="O125" s="4">
        <v>28</v>
      </c>
      <c r="P125" s="7">
        <v>1.219642857142857</v>
      </c>
      <c r="Q125" s="4">
        <v>97</v>
      </c>
      <c r="R125" s="5">
        <v>46219.430555555598</v>
      </c>
      <c r="S125" s="9">
        <v>2.6666666666666665</v>
      </c>
      <c r="T125" s="10">
        <v>1.96</v>
      </c>
      <c r="U125" s="10"/>
      <c r="V125" s="10"/>
      <c r="W125" s="13"/>
      <c r="X125" s="13"/>
      <c r="Y125" s="10">
        <v>100</v>
      </c>
      <c r="Z125" s="10"/>
    </row>
    <row r="126" spans="1:26" x14ac:dyDescent="0.35">
      <c r="A126" s="4" t="s">
        <v>400</v>
      </c>
      <c r="B126" s="4" t="s">
        <v>15</v>
      </c>
      <c r="C126" s="4" t="s">
        <v>27</v>
      </c>
      <c r="D126" s="4" t="s">
        <v>400</v>
      </c>
      <c r="E126" s="4" t="s">
        <v>401</v>
      </c>
      <c r="F126" s="4" t="s">
        <v>402</v>
      </c>
      <c r="G126" s="4" t="s">
        <v>25</v>
      </c>
      <c r="H126" s="4" t="s">
        <v>43</v>
      </c>
      <c r="I126" s="5">
        <v>46229</v>
      </c>
      <c r="J126" s="4">
        <v>300</v>
      </c>
      <c r="K126" s="7">
        <v>107.30836391979157</v>
      </c>
      <c r="L126" s="7">
        <v>171.69338227166654</v>
      </c>
      <c r="M126" s="4">
        <v>600</v>
      </c>
      <c r="N126" s="4">
        <v>59.02</v>
      </c>
      <c r="O126" s="4">
        <v>28</v>
      </c>
      <c r="P126" s="7">
        <v>2.1078571428571431</v>
      </c>
      <c r="Q126" s="4">
        <v>311</v>
      </c>
      <c r="R126" s="5">
        <v>46219.583333333299</v>
      </c>
      <c r="S126" s="9">
        <v>1.9444444444444444</v>
      </c>
      <c r="T126" s="10">
        <v>2.0499999999999998</v>
      </c>
      <c r="U126" s="10"/>
      <c r="V126" s="10"/>
      <c r="W126" s="13"/>
      <c r="X126" s="13"/>
      <c r="Y126" s="10"/>
      <c r="Z126" s="9">
        <v>300</v>
      </c>
    </row>
    <row r="127" spans="1:26" x14ac:dyDescent="0.35">
      <c r="A127" s="4" t="s">
        <v>403</v>
      </c>
      <c r="B127" s="4" t="s">
        <v>15</v>
      </c>
      <c r="C127" s="4" t="s">
        <v>58</v>
      </c>
      <c r="D127" s="4" t="s">
        <v>403</v>
      </c>
      <c r="E127" s="4" t="s">
        <v>404</v>
      </c>
      <c r="F127" s="4" t="s">
        <v>405</v>
      </c>
      <c r="G127" s="4" t="s">
        <v>25</v>
      </c>
      <c r="H127" s="4" t="s">
        <v>20</v>
      </c>
      <c r="I127" s="5">
        <v>46229</v>
      </c>
      <c r="J127" s="4">
        <v>80</v>
      </c>
      <c r="K127" s="7">
        <v>83.554058149727894</v>
      </c>
      <c r="L127" s="7">
        <v>133.68649303956462</v>
      </c>
      <c r="M127" s="4">
        <v>500</v>
      </c>
      <c r="N127" s="4">
        <v>41.13</v>
      </c>
      <c r="O127" s="4">
        <v>28</v>
      </c>
      <c r="P127" s="7">
        <v>1.4689285714285716</v>
      </c>
      <c r="Q127" s="4">
        <v>78</v>
      </c>
      <c r="R127" s="5">
        <v>46224.416666666701</v>
      </c>
      <c r="S127" s="9">
        <v>2.338709677419355</v>
      </c>
      <c r="T127" s="10">
        <v>2.2999999999999998</v>
      </c>
      <c r="U127" s="10"/>
      <c r="V127" s="10"/>
      <c r="W127" s="13"/>
      <c r="X127" s="13"/>
      <c r="Y127" s="10">
        <f>+J127-V127</f>
        <v>80</v>
      </c>
      <c r="Z127" s="10"/>
    </row>
    <row r="128" spans="1:26" x14ac:dyDescent="0.35">
      <c r="A128" s="4" t="s">
        <v>406</v>
      </c>
      <c r="B128" s="4" t="s">
        <v>15</v>
      </c>
      <c r="C128" s="4" t="s">
        <v>136</v>
      </c>
      <c r="D128" s="4" t="s">
        <v>406</v>
      </c>
      <c r="E128" s="4" t="s">
        <v>407</v>
      </c>
      <c r="F128" s="4" t="s">
        <v>408</v>
      </c>
      <c r="G128" s="4" t="s">
        <v>25</v>
      </c>
      <c r="H128" s="4" t="s">
        <v>67</v>
      </c>
      <c r="I128" s="5">
        <v>46229</v>
      </c>
      <c r="J128" s="4">
        <v>450</v>
      </c>
      <c r="K128" s="7">
        <v>445.43878456827417</v>
      </c>
      <c r="L128" s="7">
        <v>712.70205530923874</v>
      </c>
      <c r="M128" s="4">
        <v>600</v>
      </c>
      <c r="N128" s="4">
        <v>389.54</v>
      </c>
      <c r="O128" s="4">
        <v>28</v>
      </c>
      <c r="P128" s="7">
        <v>13.912142857142857</v>
      </c>
      <c r="Q128" s="4">
        <v>190</v>
      </c>
      <c r="R128" s="5">
        <v>46222.540972222203</v>
      </c>
      <c r="S128" s="9">
        <v>2</v>
      </c>
      <c r="T128" s="10">
        <v>1.96</v>
      </c>
      <c r="U128" s="10" t="s">
        <v>551</v>
      </c>
      <c r="V128" s="10"/>
      <c r="W128" s="13"/>
      <c r="X128" s="13">
        <v>200</v>
      </c>
      <c r="Y128" s="10"/>
      <c r="Z128" s="9">
        <v>250</v>
      </c>
    </row>
    <row r="129" spans="1:26" x14ac:dyDescent="0.35">
      <c r="A129" s="4" t="s">
        <v>409</v>
      </c>
      <c r="B129" s="4" t="s">
        <v>15</v>
      </c>
      <c r="C129" s="4" t="s">
        <v>136</v>
      </c>
      <c r="D129" s="4" t="s">
        <v>409</v>
      </c>
      <c r="E129" s="4" t="s">
        <v>410</v>
      </c>
      <c r="F129" s="4" t="s">
        <v>411</v>
      </c>
      <c r="G129" s="4" t="s">
        <v>19</v>
      </c>
      <c r="H129" s="4" t="s">
        <v>20</v>
      </c>
      <c r="I129" s="5">
        <v>46229</v>
      </c>
      <c r="J129" s="4">
        <v>900</v>
      </c>
      <c r="K129" s="7">
        <v>1291.8210082120188</v>
      </c>
      <c r="L129" s="7">
        <v>2066.9136131392302</v>
      </c>
      <c r="M129" s="4">
        <v>1000</v>
      </c>
      <c r="N129" s="4">
        <v>594.24</v>
      </c>
      <c r="O129" s="4">
        <v>28</v>
      </c>
      <c r="P129" s="7">
        <v>21.222857142857144</v>
      </c>
      <c r="Q129" s="4">
        <v>260</v>
      </c>
      <c r="R129" s="5">
        <v>46224.697222222203</v>
      </c>
      <c r="S129" s="9">
        <v>3.6764705882352939</v>
      </c>
      <c r="T129" s="10">
        <v>4.18</v>
      </c>
      <c r="U129" s="10"/>
      <c r="V129" s="10">
        <v>200</v>
      </c>
      <c r="W129" s="13"/>
      <c r="X129" s="13">
        <v>180</v>
      </c>
      <c r="Y129" s="10"/>
      <c r="Z129" s="9">
        <v>520</v>
      </c>
    </row>
    <row r="130" spans="1:26" x14ac:dyDescent="0.35">
      <c r="A130" s="4" t="s">
        <v>412</v>
      </c>
      <c r="B130" s="4" t="s">
        <v>15</v>
      </c>
      <c r="C130" s="4" t="s">
        <v>27</v>
      </c>
      <c r="D130" s="4" t="s">
        <v>412</v>
      </c>
      <c r="E130" s="4" t="s">
        <v>413</v>
      </c>
      <c r="F130" s="4" t="s">
        <v>414</v>
      </c>
      <c r="G130" s="4" t="s">
        <v>25</v>
      </c>
      <c r="H130" s="4" t="s">
        <v>20</v>
      </c>
      <c r="I130" s="5">
        <v>46229</v>
      </c>
      <c r="J130" s="4">
        <v>300</v>
      </c>
      <c r="K130" s="7">
        <v>33.078468807746653</v>
      </c>
      <c r="L130" s="7">
        <v>52.925550092394644</v>
      </c>
      <c r="M130" s="4">
        <v>1000</v>
      </c>
      <c r="N130" s="4">
        <v>0</v>
      </c>
      <c r="O130" s="4">
        <v>28</v>
      </c>
      <c r="P130" s="7">
        <v>0</v>
      </c>
      <c r="Q130" s="4">
        <v>125</v>
      </c>
      <c r="R130" s="5">
        <v>46222.625</v>
      </c>
      <c r="S130" s="9">
        <v>1.7708333333333333</v>
      </c>
      <c r="T130" s="10">
        <v>1.96</v>
      </c>
      <c r="U130" s="10"/>
      <c r="V130" s="10"/>
      <c r="W130" s="13"/>
      <c r="X130" s="13">
        <v>100</v>
      </c>
      <c r="Y130" s="10"/>
      <c r="Z130" s="9">
        <v>200</v>
      </c>
    </row>
    <row r="131" spans="1:26" x14ac:dyDescent="0.35">
      <c r="A131" s="4" t="s">
        <v>415</v>
      </c>
      <c r="B131" s="4" t="s">
        <v>15</v>
      </c>
      <c r="C131" s="4" t="s">
        <v>58</v>
      </c>
      <c r="D131" s="4" t="s">
        <v>415</v>
      </c>
      <c r="E131" s="4" t="s">
        <v>416</v>
      </c>
      <c r="F131" s="4" t="s">
        <v>417</v>
      </c>
      <c r="G131" s="4" t="s">
        <v>25</v>
      </c>
      <c r="H131" s="4" t="s">
        <v>20</v>
      </c>
      <c r="I131" s="5">
        <v>46229</v>
      </c>
      <c r="J131" s="4">
        <v>30</v>
      </c>
      <c r="K131" s="7">
        <v>15.615634028447037</v>
      </c>
      <c r="L131" s="7">
        <v>24.985014445515262</v>
      </c>
      <c r="M131" s="4">
        <v>100</v>
      </c>
      <c r="N131" s="4">
        <v>27.68</v>
      </c>
      <c r="O131" s="4">
        <v>28</v>
      </c>
      <c r="P131" s="7">
        <v>0.98857142857142855</v>
      </c>
      <c r="Q131" s="4">
        <v>66</v>
      </c>
      <c r="R131" s="5">
        <v>46219.583333333299</v>
      </c>
      <c r="S131" s="9">
        <v>2.3333333333333335</v>
      </c>
      <c r="T131" s="10">
        <v>2.87</v>
      </c>
      <c r="U131" s="10"/>
      <c r="V131" s="10"/>
      <c r="W131" s="13"/>
      <c r="X131" s="13"/>
      <c r="Y131" s="10">
        <f>+J131-V131</f>
        <v>30</v>
      </c>
      <c r="Z131" s="10"/>
    </row>
    <row r="132" spans="1:26" x14ac:dyDescent="0.35">
      <c r="A132" s="4" t="s">
        <v>418</v>
      </c>
      <c r="B132" s="4" t="s">
        <v>15</v>
      </c>
      <c r="C132" s="4" t="s">
        <v>27</v>
      </c>
      <c r="D132" s="4" t="s">
        <v>418</v>
      </c>
      <c r="E132" s="4" t="s">
        <v>419</v>
      </c>
      <c r="F132" s="4" t="s">
        <v>420</v>
      </c>
      <c r="G132" s="4" t="s">
        <v>25</v>
      </c>
      <c r="H132" s="4" t="s">
        <v>20</v>
      </c>
      <c r="I132" s="5">
        <v>46229</v>
      </c>
      <c r="J132" s="4">
        <v>250</v>
      </c>
      <c r="K132" s="7">
        <v>223.20099766623093</v>
      </c>
      <c r="L132" s="7">
        <v>357.12159626596952</v>
      </c>
      <c r="M132" s="4">
        <v>1000</v>
      </c>
      <c r="N132" s="4">
        <v>71.25</v>
      </c>
      <c r="O132" s="4">
        <v>28</v>
      </c>
      <c r="P132" s="7">
        <v>2.5446428571428572</v>
      </c>
      <c r="Q132" s="4">
        <v>190</v>
      </c>
      <c r="R132" s="5">
        <v>46225.458333333299</v>
      </c>
      <c r="S132" s="9" t="s">
        <v>530</v>
      </c>
      <c r="T132" s="10">
        <v>2.09</v>
      </c>
      <c r="U132" s="10"/>
      <c r="V132" s="10"/>
      <c r="W132" s="13"/>
      <c r="X132" s="13"/>
      <c r="Y132" s="10"/>
      <c r="Z132" s="9">
        <v>250</v>
      </c>
    </row>
    <row r="133" spans="1:26" x14ac:dyDescent="0.35">
      <c r="A133" s="4" t="s">
        <v>421</v>
      </c>
      <c r="B133" s="4" t="s">
        <v>15</v>
      </c>
      <c r="C133" s="4" t="s">
        <v>40</v>
      </c>
      <c r="D133" s="4" t="s">
        <v>421</v>
      </c>
      <c r="E133" s="4" t="s">
        <v>422</v>
      </c>
      <c r="F133" s="4" t="s">
        <v>423</v>
      </c>
      <c r="G133" s="4" t="s">
        <v>25</v>
      </c>
      <c r="H133" s="4" t="s">
        <v>20</v>
      </c>
      <c r="I133" s="5">
        <v>46229</v>
      </c>
      <c r="J133" s="4">
        <v>200</v>
      </c>
      <c r="K133" s="7">
        <v>22.51333649400641</v>
      </c>
      <c r="L133" s="7">
        <v>36.021338390410257</v>
      </c>
      <c r="M133" s="4">
        <v>1000</v>
      </c>
      <c r="N133" s="4">
        <v>0</v>
      </c>
      <c r="O133" s="4">
        <v>28</v>
      </c>
      <c r="P133" s="7">
        <v>0</v>
      </c>
      <c r="Q133" s="4">
        <v>250</v>
      </c>
      <c r="R133" s="5">
        <v>46204.416666666701</v>
      </c>
      <c r="S133" s="9">
        <v>4.6875</v>
      </c>
      <c r="T133" s="10">
        <v>1.96</v>
      </c>
      <c r="U133" s="10"/>
      <c r="V133" s="10"/>
      <c r="W133" s="13">
        <v>180</v>
      </c>
      <c r="X133" s="13"/>
      <c r="Y133" s="10">
        <v>20</v>
      </c>
      <c r="Z133" s="10"/>
    </row>
    <row r="134" spans="1:26" x14ac:dyDescent="0.35">
      <c r="A134" s="4" t="s">
        <v>424</v>
      </c>
      <c r="B134" s="4" t="s">
        <v>15</v>
      </c>
      <c r="C134" s="4" t="s">
        <v>22</v>
      </c>
      <c r="D134" s="4" t="s">
        <v>424</v>
      </c>
      <c r="E134" s="4" t="s">
        <v>425</v>
      </c>
      <c r="F134" s="4" t="s">
        <v>426</v>
      </c>
      <c r="G134" s="4" t="s">
        <v>25</v>
      </c>
      <c r="H134" s="4" t="s">
        <v>43</v>
      </c>
      <c r="I134" s="5">
        <v>46229</v>
      </c>
      <c r="J134" s="4">
        <v>100</v>
      </c>
      <c r="K134" s="7">
        <v>107.30836391979157</v>
      </c>
      <c r="L134" s="7">
        <v>171.69338227166654</v>
      </c>
      <c r="M134" s="4">
        <v>1000</v>
      </c>
      <c r="N134" s="4">
        <v>0.54</v>
      </c>
      <c r="O134" s="4">
        <v>28</v>
      </c>
      <c r="P134" s="7">
        <v>1.9285714285714288E-2</v>
      </c>
      <c r="Q134" s="4">
        <v>144</v>
      </c>
      <c r="R134" s="5">
        <v>46223.375</v>
      </c>
      <c r="S134" s="9">
        <v>2.6595744680851063</v>
      </c>
      <c r="T134" s="10">
        <v>2.77</v>
      </c>
      <c r="U134" s="10"/>
      <c r="V134" s="10"/>
      <c r="W134" s="13">
        <f t="shared" ref="W132:W166" si="2">+J134-V134</f>
        <v>100</v>
      </c>
      <c r="X134" s="13"/>
      <c r="Y134" s="10"/>
      <c r="Z134" s="10"/>
    </row>
    <row r="135" spans="1:26" x14ac:dyDescent="0.35">
      <c r="A135" s="4" t="s">
        <v>427</v>
      </c>
      <c r="B135" s="4" t="s">
        <v>15</v>
      </c>
      <c r="C135" s="4" t="s">
        <v>32</v>
      </c>
      <c r="D135" s="4" t="s">
        <v>427</v>
      </c>
      <c r="E135" s="4" t="s">
        <v>428</v>
      </c>
      <c r="F135" s="4" t="s">
        <v>429</v>
      </c>
      <c r="G135" s="4" t="s">
        <v>25</v>
      </c>
      <c r="H135" s="4" t="s">
        <v>20</v>
      </c>
      <c r="I135" s="5">
        <v>46229</v>
      </c>
      <c r="J135" s="4">
        <v>200</v>
      </c>
      <c r="K135" s="7">
        <v>83.288459739985484</v>
      </c>
      <c r="L135" s="7">
        <v>133.26153558397678</v>
      </c>
      <c r="M135" s="4">
        <v>600</v>
      </c>
      <c r="N135" s="4">
        <v>623.88</v>
      </c>
      <c r="O135" s="4">
        <v>28</v>
      </c>
      <c r="P135" s="7">
        <v>22.28142857142857</v>
      </c>
      <c r="Q135" s="4">
        <v>190</v>
      </c>
      <c r="R135" s="5">
        <v>46224.655555555597</v>
      </c>
      <c r="S135" s="9" t="s">
        <v>530</v>
      </c>
      <c r="T135" s="10">
        <v>5.39</v>
      </c>
      <c r="U135" s="10"/>
      <c r="V135" s="10"/>
      <c r="W135" s="13">
        <f t="shared" si="2"/>
        <v>200</v>
      </c>
      <c r="X135" s="13"/>
      <c r="Y135" s="10"/>
      <c r="Z135" s="10"/>
    </row>
    <row r="136" spans="1:26" x14ac:dyDescent="0.35">
      <c r="A136" s="4" t="s">
        <v>430</v>
      </c>
      <c r="B136" s="4" t="s">
        <v>15</v>
      </c>
      <c r="C136" s="4" t="s">
        <v>22</v>
      </c>
      <c r="D136" s="4" t="s">
        <v>430</v>
      </c>
      <c r="E136" s="4" t="s">
        <v>431</v>
      </c>
      <c r="F136" s="4" t="s">
        <v>432</v>
      </c>
      <c r="G136" s="4" t="s">
        <v>25</v>
      </c>
      <c r="H136" s="4" t="s">
        <v>20</v>
      </c>
      <c r="I136" s="5">
        <v>46229</v>
      </c>
      <c r="J136" s="4">
        <v>100</v>
      </c>
      <c r="K136" s="7">
        <v>89.687976650741703</v>
      </c>
      <c r="L136" s="7">
        <v>143.50076264118672</v>
      </c>
      <c r="M136" s="4">
        <v>600</v>
      </c>
      <c r="N136" s="4">
        <v>4.33</v>
      </c>
      <c r="O136" s="4">
        <v>28</v>
      </c>
      <c r="P136" s="7">
        <v>0.15464285714285714</v>
      </c>
      <c r="Q136" s="4">
        <v>330</v>
      </c>
      <c r="R136" s="5">
        <v>46223.46875</v>
      </c>
      <c r="S136" s="9">
        <v>4.25</v>
      </c>
      <c r="T136" s="10">
        <v>3.6</v>
      </c>
      <c r="U136" s="10"/>
      <c r="V136" s="10"/>
      <c r="W136" s="13"/>
      <c r="X136" s="13"/>
      <c r="Y136" s="10">
        <v>100</v>
      </c>
      <c r="Z136" s="10"/>
    </row>
    <row r="137" spans="1:26" x14ac:dyDescent="0.35">
      <c r="A137" s="4" t="s">
        <v>433</v>
      </c>
      <c r="B137" s="4"/>
      <c r="C137" s="4" t="s">
        <v>16</v>
      </c>
      <c r="D137" s="4" t="s">
        <v>433</v>
      </c>
      <c r="E137" s="4" t="s">
        <v>434</v>
      </c>
      <c r="F137" s="4" t="s">
        <v>435</v>
      </c>
      <c r="G137" s="4" t="s">
        <v>25</v>
      </c>
      <c r="H137" s="4" t="s">
        <v>67</v>
      </c>
      <c r="I137" s="5">
        <v>46229</v>
      </c>
      <c r="J137" s="4">
        <v>650</v>
      </c>
      <c r="K137" s="7">
        <v>645.78760358725776</v>
      </c>
      <c r="L137" s="7">
        <v>1033.2601657396124</v>
      </c>
      <c r="M137" s="4">
        <v>1000</v>
      </c>
      <c r="N137" s="4">
        <v>670.55</v>
      </c>
      <c r="O137" s="4">
        <v>28</v>
      </c>
      <c r="P137" s="7">
        <v>23.948214285714283</v>
      </c>
      <c r="Q137" s="4">
        <v>342.2</v>
      </c>
      <c r="R137" s="5">
        <v>46207.5</v>
      </c>
      <c r="S137" s="9">
        <v>2.8000000000000114</v>
      </c>
      <c r="T137" s="10">
        <v>2.09</v>
      </c>
      <c r="U137" s="10"/>
      <c r="V137" s="10"/>
      <c r="W137" s="13"/>
      <c r="X137" s="13"/>
      <c r="Y137" s="10">
        <v>200</v>
      </c>
      <c r="Z137" s="9">
        <v>650</v>
      </c>
    </row>
    <row r="138" spans="1:26" x14ac:dyDescent="0.35">
      <c r="A138" s="4" t="s">
        <v>436</v>
      </c>
      <c r="B138" s="4" t="s">
        <v>15</v>
      </c>
      <c r="C138" s="4" t="s">
        <v>58</v>
      </c>
      <c r="D138" s="4" t="s">
        <v>436</v>
      </c>
      <c r="E138" s="4" t="s">
        <v>437</v>
      </c>
      <c r="F138" s="4" t="s">
        <v>438</v>
      </c>
      <c r="G138" s="4" t="s">
        <v>25</v>
      </c>
      <c r="H138" s="4" t="s">
        <v>43</v>
      </c>
      <c r="I138" s="5">
        <v>46229</v>
      </c>
      <c r="J138" s="4">
        <v>0</v>
      </c>
      <c r="K138" s="7">
        <v>107.30836391979157</v>
      </c>
      <c r="L138" s="7">
        <v>171.69338227166654</v>
      </c>
      <c r="M138" s="4">
        <v>150</v>
      </c>
      <c r="N138" s="4">
        <v>32.770000000000003</v>
      </c>
      <c r="O138" s="4">
        <v>28</v>
      </c>
      <c r="P138" s="7">
        <v>1.1703571428571429</v>
      </c>
      <c r="Q138" s="4">
        <v>178</v>
      </c>
      <c r="R138" s="5">
        <v>46212.333333333299</v>
      </c>
      <c r="S138" s="9">
        <v>2.2999999999999998</v>
      </c>
      <c r="T138" s="10">
        <v>2.0499999999999998</v>
      </c>
      <c r="U138" s="10"/>
      <c r="V138" s="10"/>
      <c r="W138" s="13">
        <f t="shared" si="2"/>
        <v>0</v>
      </c>
      <c r="X138" s="13"/>
      <c r="Y138" s="10"/>
      <c r="Z138" s="10"/>
    </row>
    <row r="139" spans="1:26" x14ac:dyDescent="0.35">
      <c r="A139" s="4" t="s">
        <v>439</v>
      </c>
      <c r="B139" s="4" t="s">
        <v>15</v>
      </c>
      <c r="C139" s="4" t="s">
        <v>58</v>
      </c>
      <c r="D139" s="4" t="s">
        <v>439</v>
      </c>
      <c r="E139" s="4" t="s">
        <v>440</v>
      </c>
      <c r="F139" s="4" t="s">
        <v>441</v>
      </c>
      <c r="G139" s="4" t="s">
        <v>25</v>
      </c>
      <c r="H139" s="4" t="s">
        <v>20</v>
      </c>
      <c r="I139" s="5">
        <v>46229</v>
      </c>
      <c r="J139" s="4">
        <v>150</v>
      </c>
      <c r="K139" s="7">
        <v>66.434558191876008</v>
      </c>
      <c r="L139" s="7">
        <v>106.29529310700161</v>
      </c>
      <c r="M139" s="4">
        <v>850</v>
      </c>
      <c r="N139" s="4">
        <v>20.74</v>
      </c>
      <c r="O139" s="4">
        <v>28</v>
      </c>
      <c r="P139" s="7">
        <v>0.74071428571428566</v>
      </c>
      <c r="Q139" s="4">
        <v>135</v>
      </c>
      <c r="R139" s="5">
        <v>46221.708333333299</v>
      </c>
      <c r="S139" s="9" t="s">
        <v>530</v>
      </c>
      <c r="T139" s="10">
        <v>2.09</v>
      </c>
      <c r="U139" s="10"/>
      <c r="V139" s="10"/>
      <c r="W139" s="13"/>
      <c r="X139" s="13"/>
      <c r="Y139" s="10">
        <f>+J139-V139</f>
        <v>150</v>
      </c>
      <c r="Z139" s="10"/>
    </row>
    <row r="140" spans="1:26" x14ac:dyDescent="0.35">
      <c r="A140" s="4" t="s">
        <v>442</v>
      </c>
      <c r="B140" s="4" t="s">
        <v>15</v>
      </c>
      <c r="C140" s="4" t="s">
        <v>22</v>
      </c>
      <c r="D140" s="4" t="s">
        <v>442</v>
      </c>
      <c r="E140" s="4" t="s">
        <v>443</v>
      </c>
      <c r="F140" s="4" t="s">
        <v>444</v>
      </c>
      <c r="G140" s="4" t="s">
        <v>25</v>
      </c>
      <c r="H140" s="4" t="s">
        <v>53</v>
      </c>
      <c r="I140" s="5">
        <v>46229</v>
      </c>
      <c r="J140" s="4">
        <v>100</v>
      </c>
      <c r="K140" s="7">
        <v>107.30836391979157</v>
      </c>
      <c r="L140" s="7">
        <v>171.69338227166654</v>
      </c>
      <c r="M140" s="4">
        <v>500</v>
      </c>
      <c r="N140" s="4">
        <v>31.18</v>
      </c>
      <c r="O140" s="4">
        <v>28</v>
      </c>
      <c r="P140" s="7">
        <v>1.1135714285714287</v>
      </c>
      <c r="Q140" s="4">
        <v>179</v>
      </c>
      <c r="R140" s="5">
        <v>46225.586805555598</v>
      </c>
      <c r="S140" s="9">
        <v>2.5</v>
      </c>
      <c r="T140" s="10">
        <v>1.96</v>
      </c>
      <c r="U140" s="10"/>
      <c r="V140" s="10"/>
      <c r="W140" s="13"/>
      <c r="X140" s="13"/>
      <c r="Y140" s="10">
        <v>100</v>
      </c>
      <c r="Z140" s="10"/>
    </row>
    <row r="141" spans="1:26" x14ac:dyDescent="0.35">
      <c r="A141" s="4" t="s">
        <v>445</v>
      </c>
      <c r="B141" s="4"/>
      <c r="C141" s="4" t="s">
        <v>32</v>
      </c>
      <c r="D141" s="4" t="s">
        <v>445</v>
      </c>
      <c r="E141" s="4" t="s">
        <v>446</v>
      </c>
      <c r="F141" s="4" t="s">
        <v>447</v>
      </c>
      <c r="G141" s="4" t="s">
        <v>25</v>
      </c>
      <c r="H141" s="4" t="s">
        <v>53</v>
      </c>
      <c r="I141" s="5">
        <v>46229</v>
      </c>
      <c r="J141" s="4">
        <v>1000</v>
      </c>
      <c r="K141" s="7">
        <v>1290.0795764225461</v>
      </c>
      <c r="L141" s="7">
        <v>2064.1273222760738</v>
      </c>
      <c r="M141" s="4">
        <v>1000</v>
      </c>
      <c r="N141" s="4">
        <v>397.52</v>
      </c>
      <c r="O141" s="4">
        <v>28</v>
      </c>
      <c r="P141" s="7">
        <v>14.197142857142856</v>
      </c>
      <c r="Q141" s="4">
        <v>410</v>
      </c>
      <c r="R141" s="5">
        <v>46224.746527777803</v>
      </c>
      <c r="S141" s="9">
        <v>3.8461538461538463</v>
      </c>
      <c r="T141" s="10">
        <v>4.21</v>
      </c>
      <c r="U141" s="10"/>
      <c r="V141" s="10">
        <v>700</v>
      </c>
      <c r="W141" s="13"/>
      <c r="X141" s="13"/>
      <c r="Y141" s="10">
        <v>300</v>
      </c>
      <c r="Z141" s="10"/>
    </row>
    <row r="142" spans="1:26" x14ac:dyDescent="0.35">
      <c r="A142" s="4" t="s">
        <v>448</v>
      </c>
      <c r="B142" s="4" t="s">
        <v>15</v>
      </c>
      <c r="C142" s="4" t="s">
        <v>32</v>
      </c>
      <c r="D142" s="4" t="s">
        <v>448</v>
      </c>
      <c r="E142" s="4" t="s">
        <v>449</v>
      </c>
      <c r="F142" s="4" t="s">
        <v>282</v>
      </c>
      <c r="G142" s="4" t="s">
        <v>25</v>
      </c>
      <c r="H142" s="4" t="s">
        <v>108</v>
      </c>
      <c r="I142" s="5">
        <v>46229</v>
      </c>
      <c r="J142" s="4">
        <v>500</v>
      </c>
      <c r="K142" s="7">
        <v>501.44666137635926</v>
      </c>
      <c r="L142" s="7">
        <v>802.31465820217488</v>
      </c>
      <c r="M142" s="4">
        <v>1000</v>
      </c>
      <c r="N142" s="4">
        <v>204.19</v>
      </c>
      <c r="O142" s="4">
        <v>28</v>
      </c>
      <c r="P142" s="7">
        <v>7.2924999999999995</v>
      </c>
      <c r="Q142" s="4">
        <v>170</v>
      </c>
      <c r="R142" s="5">
        <v>46222.506944444503</v>
      </c>
      <c r="S142" s="9">
        <v>7</v>
      </c>
      <c r="T142" s="10">
        <v>5.69</v>
      </c>
      <c r="U142" s="10" t="s">
        <v>541</v>
      </c>
      <c r="V142" s="10">
        <v>60</v>
      </c>
      <c r="W142" s="13">
        <v>500</v>
      </c>
      <c r="X142" s="13"/>
      <c r="Y142" s="10"/>
      <c r="Z142" s="10"/>
    </row>
    <row r="143" spans="1:26" x14ac:dyDescent="0.35">
      <c r="A143" s="4" t="s">
        <v>450</v>
      </c>
      <c r="B143" s="4" t="s">
        <v>15</v>
      </c>
      <c r="C143" s="4" t="s">
        <v>58</v>
      </c>
      <c r="D143" s="4" t="s">
        <v>450</v>
      </c>
      <c r="E143" s="4" t="s">
        <v>451</v>
      </c>
      <c r="F143" s="4" t="s">
        <v>452</v>
      </c>
      <c r="G143" s="4" t="s">
        <v>25</v>
      </c>
      <c r="H143" s="4" t="s">
        <v>20</v>
      </c>
      <c r="I143" s="5">
        <v>46229</v>
      </c>
      <c r="J143" s="4">
        <v>50</v>
      </c>
      <c r="K143" s="7">
        <v>93.416155066462323</v>
      </c>
      <c r="L143" s="7">
        <v>149.46584810633973</v>
      </c>
      <c r="M143" s="4">
        <v>75</v>
      </c>
      <c r="N143" s="4">
        <v>0</v>
      </c>
      <c r="O143" s="4">
        <v>28</v>
      </c>
      <c r="P143" s="7">
        <v>0</v>
      </c>
      <c r="Q143" s="4">
        <v>75</v>
      </c>
      <c r="R143" s="5">
        <v>46217.333333333299</v>
      </c>
      <c r="S143" s="9">
        <v>4.5</v>
      </c>
      <c r="T143" s="10">
        <v>3.9</v>
      </c>
      <c r="U143" s="10" t="s">
        <v>541</v>
      </c>
      <c r="V143" s="10">
        <v>100</v>
      </c>
      <c r="W143" s="13">
        <v>100</v>
      </c>
      <c r="X143" s="13"/>
      <c r="Y143" s="10"/>
      <c r="Z143" s="10"/>
    </row>
    <row r="144" spans="1:26" x14ac:dyDescent="0.35">
      <c r="A144" s="4" t="s">
        <v>453</v>
      </c>
      <c r="B144" s="4" t="s">
        <v>15</v>
      </c>
      <c r="C144" s="4" t="s">
        <v>27</v>
      </c>
      <c r="D144" s="4" t="s">
        <v>453</v>
      </c>
      <c r="E144" s="4" t="s">
        <v>454</v>
      </c>
      <c r="F144" s="4" t="s">
        <v>455</v>
      </c>
      <c r="G144" s="4" t="s">
        <v>127</v>
      </c>
      <c r="H144" s="4" t="s">
        <v>20</v>
      </c>
      <c r="I144" s="5">
        <v>46229</v>
      </c>
      <c r="J144" s="4">
        <v>350</v>
      </c>
      <c r="K144" s="7">
        <v>376.86307196348503</v>
      </c>
      <c r="L144" s="7">
        <v>602.98091514157602</v>
      </c>
      <c r="M144" s="4">
        <v>1000</v>
      </c>
      <c r="N144" s="4">
        <v>484.22</v>
      </c>
      <c r="O144" s="4">
        <v>28</v>
      </c>
      <c r="P144" s="7">
        <v>17.293571428571429</v>
      </c>
      <c r="Q144" s="4">
        <v>354</v>
      </c>
      <c r="R144" s="5">
        <v>46222.625</v>
      </c>
      <c r="S144" s="9">
        <v>2.5</v>
      </c>
      <c r="T144" s="10">
        <v>2.19</v>
      </c>
      <c r="U144" s="10"/>
      <c r="V144" s="10">
        <v>100</v>
      </c>
      <c r="W144" s="13"/>
      <c r="X144" s="13"/>
      <c r="Y144" s="10"/>
      <c r="Z144" s="9">
        <v>250</v>
      </c>
    </row>
    <row r="145" spans="1:26" x14ac:dyDescent="0.35">
      <c r="A145" s="4" t="s">
        <v>456</v>
      </c>
      <c r="B145" s="4" t="s">
        <v>15</v>
      </c>
      <c r="C145" s="4" t="s">
        <v>32</v>
      </c>
      <c r="D145" s="4" t="s">
        <v>456</v>
      </c>
      <c r="E145" s="4" t="s">
        <v>457</v>
      </c>
      <c r="F145" s="4" t="s">
        <v>458</v>
      </c>
      <c r="G145" s="4" t="s">
        <v>25</v>
      </c>
      <c r="H145" s="4" t="s">
        <v>43</v>
      </c>
      <c r="I145" s="5">
        <v>46229</v>
      </c>
      <c r="J145" s="4">
        <v>200</v>
      </c>
      <c r="K145" s="7">
        <v>107.30836391979157</v>
      </c>
      <c r="L145" s="7">
        <v>171.69338227166654</v>
      </c>
      <c r="M145" s="4">
        <v>1000</v>
      </c>
      <c r="N145" s="4">
        <v>317.52999999999997</v>
      </c>
      <c r="O145" s="4">
        <v>28</v>
      </c>
      <c r="P145" s="7">
        <v>11.340357142857142</v>
      </c>
      <c r="Q145" s="4">
        <v>225</v>
      </c>
      <c r="R145" s="5">
        <v>46222.5847222222</v>
      </c>
      <c r="S145" s="9">
        <v>4.4736842105263159</v>
      </c>
      <c r="T145" s="10">
        <v>4.34</v>
      </c>
      <c r="U145" s="10"/>
      <c r="V145" s="10"/>
      <c r="W145" s="13">
        <f t="shared" si="2"/>
        <v>200</v>
      </c>
      <c r="X145" s="13"/>
      <c r="Y145" s="10"/>
      <c r="Z145" s="10"/>
    </row>
    <row r="146" spans="1:26" x14ac:dyDescent="0.35">
      <c r="A146" s="4" t="s">
        <v>459</v>
      </c>
      <c r="B146" s="4" t="s">
        <v>15</v>
      </c>
      <c r="C146" s="4" t="s">
        <v>27</v>
      </c>
      <c r="D146" s="4" t="s">
        <v>459</v>
      </c>
      <c r="E146" s="4" t="s">
        <v>460</v>
      </c>
      <c r="F146" s="4" t="s">
        <v>461</v>
      </c>
      <c r="G146" s="4" t="s">
        <v>25</v>
      </c>
      <c r="H146" s="4" t="s">
        <v>20</v>
      </c>
      <c r="I146" s="5">
        <v>46229</v>
      </c>
      <c r="J146" s="4">
        <v>250</v>
      </c>
      <c r="K146" s="7">
        <v>108.05427429545158</v>
      </c>
      <c r="L146" s="7">
        <v>172.88683887272254</v>
      </c>
      <c r="M146" s="4">
        <v>1000</v>
      </c>
      <c r="N146" s="4">
        <v>67.22</v>
      </c>
      <c r="O146" s="4">
        <v>28</v>
      </c>
      <c r="P146" s="7">
        <v>2.4007142857142858</v>
      </c>
      <c r="Q146" s="4">
        <v>287</v>
      </c>
      <c r="R146" s="5">
        <v>46221.25</v>
      </c>
      <c r="S146" s="9">
        <v>1.7</v>
      </c>
      <c r="T146" s="10">
        <v>2</v>
      </c>
      <c r="U146" s="10"/>
      <c r="V146" s="10"/>
      <c r="W146" s="13"/>
      <c r="X146" s="13"/>
      <c r="Y146" s="10"/>
      <c r="Z146" s="9">
        <v>250</v>
      </c>
    </row>
    <row r="147" spans="1:26" x14ac:dyDescent="0.35">
      <c r="A147" s="4" t="s">
        <v>462</v>
      </c>
      <c r="B147" s="4" t="s">
        <v>15</v>
      </c>
      <c r="C147" s="4" t="s">
        <v>58</v>
      </c>
      <c r="D147" s="4" t="s">
        <v>462</v>
      </c>
      <c r="E147" s="4" t="s">
        <v>463</v>
      </c>
      <c r="F147" s="4" t="s">
        <v>464</v>
      </c>
      <c r="G147" s="4" t="s">
        <v>25</v>
      </c>
      <c r="H147" s="4" t="s">
        <v>20</v>
      </c>
      <c r="I147" s="5">
        <v>46229</v>
      </c>
      <c r="J147" s="4">
        <v>400</v>
      </c>
      <c r="K147" s="7">
        <v>405.52819686430882</v>
      </c>
      <c r="L147" s="7">
        <v>648.84511498289419</v>
      </c>
      <c r="M147" s="4">
        <v>500</v>
      </c>
      <c r="N147" s="4">
        <v>121.45</v>
      </c>
      <c r="O147" s="4">
        <v>28</v>
      </c>
      <c r="P147" s="7">
        <v>4.3375000000000004</v>
      </c>
      <c r="Q147" s="4">
        <v>180</v>
      </c>
      <c r="R147" s="5">
        <v>46224.541666666701</v>
      </c>
      <c r="S147" s="9">
        <v>4.6875</v>
      </c>
      <c r="T147" s="10">
        <v>4.34</v>
      </c>
      <c r="U147" s="10"/>
      <c r="V147" s="10"/>
      <c r="W147" s="13"/>
      <c r="X147" s="13"/>
      <c r="Y147" s="10">
        <f>+J147-V147</f>
        <v>400</v>
      </c>
      <c r="Z147" s="10"/>
    </row>
    <row r="148" spans="1:26" x14ac:dyDescent="0.35">
      <c r="A148" s="4" t="s">
        <v>465</v>
      </c>
      <c r="B148" s="4" t="s">
        <v>15</v>
      </c>
      <c r="C148" s="4" t="s">
        <v>136</v>
      </c>
      <c r="D148" s="4" t="s">
        <v>465</v>
      </c>
      <c r="E148" s="4" t="s">
        <v>466</v>
      </c>
      <c r="F148" s="4" t="s">
        <v>467</v>
      </c>
      <c r="G148" s="4" t="s">
        <v>25</v>
      </c>
      <c r="H148" s="4" t="s">
        <v>67</v>
      </c>
      <c r="I148" s="5">
        <v>46229</v>
      </c>
      <c r="J148" s="4">
        <v>300</v>
      </c>
      <c r="K148" s="7">
        <v>307.36655286805717</v>
      </c>
      <c r="L148" s="7">
        <v>491.78648458889148</v>
      </c>
      <c r="M148" s="4">
        <v>1000</v>
      </c>
      <c r="N148" s="4">
        <v>128.22</v>
      </c>
      <c r="O148" s="4">
        <v>28</v>
      </c>
      <c r="P148" s="7">
        <v>4.5792857142857146</v>
      </c>
      <c r="Q148" s="4">
        <v>197</v>
      </c>
      <c r="R148" s="5">
        <v>46217.590277777803</v>
      </c>
      <c r="S148" s="9">
        <v>3</v>
      </c>
      <c r="T148" s="10">
        <v>2.61</v>
      </c>
      <c r="U148" s="10"/>
      <c r="V148" s="10"/>
      <c r="W148" s="13"/>
      <c r="X148" s="13">
        <v>300</v>
      </c>
      <c r="Y148" s="10"/>
      <c r="Z148" s="9">
        <v>0</v>
      </c>
    </row>
    <row r="149" spans="1:26" x14ac:dyDescent="0.35">
      <c r="A149" s="4" t="s">
        <v>468</v>
      </c>
      <c r="B149" s="4" t="s">
        <v>15</v>
      </c>
      <c r="C149" s="4" t="s">
        <v>16</v>
      </c>
      <c r="D149" s="4" t="s">
        <v>468</v>
      </c>
      <c r="E149" s="4" t="s">
        <v>469</v>
      </c>
      <c r="F149" s="4" t="s">
        <v>470</v>
      </c>
      <c r="G149" s="4" t="s">
        <v>527</v>
      </c>
      <c r="H149" s="4" t="s">
        <v>20</v>
      </c>
      <c r="I149" s="5">
        <v>46229</v>
      </c>
      <c r="J149" s="4">
        <v>50</v>
      </c>
      <c r="K149" s="7">
        <v>30.767599298331891</v>
      </c>
      <c r="L149" s="7">
        <v>49.228158877331026</v>
      </c>
      <c r="M149" s="4">
        <v>1000</v>
      </c>
      <c r="N149" s="4">
        <v>0.04</v>
      </c>
      <c r="O149" s="4">
        <v>28</v>
      </c>
      <c r="P149" s="7">
        <v>1.4285714285714286E-3</v>
      </c>
      <c r="Q149" s="4">
        <v>217</v>
      </c>
      <c r="R149" s="5">
        <v>46216.458333333299</v>
      </c>
      <c r="S149" s="9">
        <v>3</v>
      </c>
      <c r="T149" s="10">
        <v>2.77</v>
      </c>
      <c r="U149" s="10"/>
      <c r="V149" s="10"/>
      <c r="W149" s="13"/>
      <c r="X149" s="13"/>
      <c r="Y149" s="10">
        <v>100</v>
      </c>
      <c r="Z149" s="9">
        <v>50</v>
      </c>
    </row>
    <row r="150" spans="1:26" x14ac:dyDescent="0.35">
      <c r="A150" s="4" t="s">
        <v>471</v>
      </c>
      <c r="B150" s="4" t="s">
        <v>15</v>
      </c>
      <c r="C150" s="4" t="s">
        <v>27</v>
      </c>
      <c r="D150" s="4" t="s">
        <v>471</v>
      </c>
      <c r="E150" s="4" t="s">
        <v>472</v>
      </c>
      <c r="F150" s="4" t="s">
        <v>473</v>
      </c>
      <c r="G150" s="4" t="s">
        <v>25</v>
      </c>
      <c r="H150" s="4" t="s">
        <v>20</v>
      </c>
      <c r="I150" s="5">
        <v>46229</v>
      </c>
      <c r="J150" s="4">
        <v>250</v>
      </c>
      <c r="K150" s="7">
        <v>107.30836391979157</v>
      </c>
      <c r="L150" s="7">
        <v>171.69338227166654</v>
      </c>
      <c r="M150" s="4">
        <v>1000</v>
      </c>
      <c r="N150" s="4">
        <v>115.86</v>
      </c>
      <c r="O150" s="4">
        <v>28</v>
      </c>
      <c r="P150" s="7">
        <v>4.1378571428571425</v>
      </c>
      <c r="Q150" s="4">
        <v>132</v>
      </c>
      <c r="R150" s="5">
        <v>46226.583333333299</v>
      </c>
      <c r="S150" s="9">
        <v>2.5</v>
      </c>
      <c r="T150" s="10">
        <v>2.61</v>
      </c>
      <c r="U150" s="10"/>
      <c r="V150" s="10">
        <v>100</v>
      </c>
      <c r="W150" s="13"/>
      <c r="X150" s="13">
        <v>150</v>
      </c>
      <c r="Y150" s="10"/>
      <c r="Z150" s="9">
        <v>0</v>
      </c>
    </row>
    <row r="151" spans="1:26" x14ac:dyDescent="0.35">
      <c r="A151" s="4" t="s">
        <v>474</v>
      </c>
      <c r="B151" s="4" t="s">
        <v>15</v>
      </c>
      <c r="C151" s="4" t="s">
        <v>16</v>
      </c>
      <c r="D151" s="4" t="s">
        <v>474</v>
      </c>
      <c r="E151" s="4" t="s">
        <v>475</v>
      </c>
      <c r="F151" s="4" t="s">
        <v>476</v>
      </c>
      <c r="G151" s="4" t="s">
        <v>25</v>
      </c>
      <c r="H151" s="4" t="s">
        <v>20</v>
      </c>
      <c r="I151" s="5">
        <v>46229</v>
      </c>
      <c r="J151" s="4">
        <v>50</v>
      </c>
      <c r="K151" s="7">
        <v>24.754425166617963</v>
      </c>
      <c r="L151" s="7">
        <v>39.607080266588746</v>
      </c>
      <c r="M151" s="4">
        <v>1000</v>
      </c>
      <c r="N151" s="4">
        <v>14</v>
      </c>
      <c r="O151" s="4">
        <v>28</v>
      </c>
      <c r="P151" s="7">
        <v>0.5</v>
      </c>
      <c r="Q151" s="4">
        <v>266</v>
      </c>
      <c r="R151" s="5">
        <v>46221.541666666701</v>
      </c>
      <c r="S151" s="9">
        <v>2</v>
      </c>
      <c r="T151" s="10">
        <v>1.96</v>
      </c>
      <c r="U151" s="10"/>
      <c r="V151" s="10"/>
      <c r="W151" s="13"/>
      <c r="X151" s="13"/>
      <c r="Y151" s="10"/>
      <c r="Z151" s="9">
        <v>50</v>
      </c>
    </row>
    <row r="152" spans="1:26" x14ac:dyDescent="0.35">
      <c r="A152" s="4" t="s">
        <v>477</v>
      </c>
      <c r="B152" s="4" t="s">
        <v>15</v>
      </c>
      <c r="C152" s="4" t="s">
        <v>58</v>
      </c>
      <c r="D152" s="4" t="s">
        <v>477</v>
      </c>
      <c r="E152" s="4" t="s">
        <v>478</v>
      </c>
      <c r="F152" s="4" t="s">
        <v>479</v>
      </c>
      <c r="G152" s="4" t="s">
        <v>25</v>
      </c>
      <c r="H152" s="4" t="s">
        <v>20</v>
      </c>
      <c r="I152" s="5">
        <v>46229</v>
      </c>
      <c r="J152" s="4">
        <v>60</v>
      </c>
      <c r="K152" s="7">
        <v>64.544007149834769</v>
      </c>
      <c r="L152" s="7">
        <v>103.27041143973564</v>
      </c>
      <c r="M152" s="4">
        <v>100</v>
      </c>
      <c r="N152" s="4">
        <v>27.66</v>
      </c>
      <c r="O152" s="4">
        <v>28</v>
      </c>
      <c r="P152" s="7">
        <v>0.98785714285714288</v>
      </c>
      <c r="Q152" s="4">
        <v>85</v>
      </c>
      <c r="R152" s="5">
        <v>46214.625</v>
      </c>
      <c r="S152" s="9" t="s">
        <v>530</v>
      </c>
      <c r="T152" s="10">
        <v>2.2999999999999998</v>
      </c>
      <c r="U152" s="10"/>
      <c r="V152" s="10"/>
      <c r="W152" s="13"/>
      <c r="X152" s="13"/>
      <c r="Y152" s="10">
        <f>+J152-V152</f>
        <v>60</v>
      </c>
      <c r="Z152" s="10"/>
    </row>
    <row r="153" spans="1:26" x14ac:dyDescent="0.35">
      <c r="A153" s="4" t="s">
        <v>480</v>
      </c>
      <c r="B153" s="4" t="s">
        <v>15</v>
      </c>
      <c r="C153" s="4" t="s">
        <v>58</v>
      </c>
      <c r="D153" s="4" t="s">
        <v>480</v>
      </c>
      <c r="E153" s="4" t="s">
        <v>481</v>
      </c>
      <c r="F153" s="4" t="s">
        <v>482</v>
      </c>
      <c r="G153" s="4" t="s">
        <v>25</v>
      </c>
      <c r="H153" s="4" t="s">
        <v>53</v>
      </c>
      <c r="I153" s="5">
        <v>46229</v>
      </c>
      <c r="J153" s="4">
        <v>100</v>
      </c>
      <c r="K153" s="7">
        <v>107.30836391979157</v>
      </c>
      <c r="L153" s="7">
        <v>171.69338227166654</v>
      </c>
      <c r="M153" s="4">
        <v>1000</v>
      </c>
      <c r="N153" s="4">
        <v>317.60000000000002</v>
      </c>
      <c r="O153" s="4">
        <v>28</v>
      </c>
      <c r="P153" s="7">
        <v>11.342857142857143</v>
      </c>
      <c r="Q153" s="4">
        <v>510</v>
      </c>
      <c r="R153" s="5">
        <v>46209.416666666701</v>
      </c>
      <c r="S153" s="9">
        <v>2.4166666666666665</v>
      </c>
      <c r="T153" s="10">
        <v>2.15</v>
      </c>
      <c r="U153" s="10"/>
      <c r="V153" s="10"/>
      <c r="W153" s="13"/>
      <c r="X153" s="13"/>
      <c r="Y153" s="10">
        <f>+J153-V153</f>
        <v>100</v>
      </c>
      <c r="Z153" s="10"/>
    </row>
    <row r="154" spans="1:26" x14ac:dyDescent="0.35">
      <c r="A154" s="4" t="s">
        <v>483</v>
      </c>
      <c r="B154" s="4" t="s">
        <v>15</v>
      </c>
      <c r="C154" s="4" t="s">
        <v>27</v>
      </c>
      <c r="D154" s="4" t="s">
        <v>483</v>
      </c>
      <c r="E154" s="4" t="s">
        <v>484</v>
      </c>
      <c r="F154" s="4" t="s">
        <v>485</v>
      </c>
      <c r="G154" s="4" t="s">
        <v>25</v>
      </c>
      <c r="H154" s="4" t="s">
        <v>43</v>
      </c>
      <c r="I154" s="5">
        <v>46229</v>
      </c>
      <c r="J154" s="4">
        <v>250</v>
      </c>
      <c r="K154" s="7">
        <v>107.30836391979157</v>
      </c>
      <c r="L154" s="7">
        <v>171.69338227166654</v>
      </c>
      <c r="M154" s="4">
        <v>1500</v>
      </c>
      <c r="N154" s="4">
        <v>666</v>
      </c>
      <c r="O154" s="4">
        <v>28</v>
      </c>
      <c r="P154" s="7">
        <v>23.785714285714285</v>
      </c>
      <c r="Q154" s="4">
        <v>223</v>
      </c>
      <c r="R154" s="5">
        <v>46225.625</v>
      </c>
      <c r="S154" s="9">
        <v>2</v>
      </c>
      <c r="T154" s="10">
        <v>1.96</v>
      </c>
      <c r="U154" s="10"/>
      <c r="V154" s="10"/>
      <c r="W154" s="13"/>
      <c r="X154" s="13"/>
      <c r="Y154" s="10"/>
      <c r="Z154" s="9">
        <v>250</v>
      </c>
    </row>
    <row r="155" spans="1:26" x14ac:dyDescent="0.35">
      <c r="A155" s="4" t="s">
        <v>486</v>
      </c>
      <c r="B155" s="4" t="s">
        <v>15</v>
      </c>
      <c r="C155" s="4" t="s">
        <v>27</v>
      </c>
      <c r="D155" s="4" t="s">
        <v>486</v>
      </c>
      <c r="E155" s="4" t="s">
        <v>487</v>
      </c>
      <c r="F155" s="4" t="s">
        <v>488</v>
      </c>
      <c r="G155" s="4" t="s">
        <v>25</v>
      </c>
      <c r="H155" s="4" t="s">
        <v>390</v>
      </c>
      <c r="I155" s="5">
        <v>46229</v>
      </c>
      <c r="J155" s="4">
        <v>100</v>
      </c>
      <c r="K155" s="7">
        <v>62.524413829997329</v>
      </c>
      <c r="L155" s="7">
        <v>100.03906212799573</v>
      </c>
      <c r="M155" s="4">
        <v>1500</v>
      </c>
      <c r="N155" s="4">
        <v>0</v>
      </c>
      <c r="O155" s="4">
        <v>28</v>
      </c>
      <c r="P155" s="7">
        <v>0</v>
      </c>
      <c r="Q155" s="4">
        <v>339</v>
      </c>
      <c r="R155" s="5">
        <v>46223.333333333299</v>
      </c>
      <c r="S155" s="9">
        <v>2.0348837209302326</v>
      </c>
      <c r="T155" s="10">
        <v>2.0499999999999998</v>
      </c>
      <c r="U155" s="10"/>
      <c r="V155" s="10"/>
      <c r="W155" s="13"/>
      <c r="X155" s="13"/>
      <c r="Y155" s="10"/>
      <c r="Z155" s="9">
        <v>100</v>
      </c>
    </row>
    <row r="156" spans="1:26" x14ac:dyDescent="0.35">
      <c r="A156" s="4" t="s">
        <v>489</v>
      </c>
      <c r="B156" s="4" t="s">
        <v>15</v>
      </c>
      <c r="C156" s="4" t="s">
        <v>40</v>
      </c>
      <c r="D156" s="4" t="s">
        <v>489</v>
      </c>
      <c r="E156" s="4" t="s">
        <v>490</v>
      </c>
      <c r="F156" s="4" t="s">
        <v>491</v>
      </c>
      <c r="G156" s="4" t="s">
        <v>25</v>
      </c>
      <c r="H156" s="4" t="s">
        <v>20</v>
      </c>
      <c r="I156" s="5">
        <v>46229</v>
      </c>
      <c r="J156" s="4">
        <v>300</v>
      </c>
      <c r="K156" s="7">
        <v>826.92356288215638</v>
      </c>
      <c r="L156" s="7">
        <v>1323.0777006114504</v>
      </c>
      <c r="M156" s="4">
        <v>600</v>
      </c>
      <c r="N156" s="4">
        <v>379.15</v>
      </c>
      <c r="O156" s="4">
        <v>28</v>
      </c>
      <c r="P156" s="7">
        <v>13.541071428571428</v>
      </c>
      <c r="Q156" s="4">
        <v>348</v>
      </c>
      <c r="R156" s="5">
        <v>46212.798611111102</v>
      </c>
      <c r="S156" s="9">
        <v>2.5</v>
      </c>
      <c r="T156" s="10">
        <v>3.31</v>
      </c>
      <c r="U156" s="10"/>
      <c r="V156" s="10"/>
      <c r="W156" s="13"/>
      <c r="X156" s="13"/>
      <c r="Y156" s="10">
        <v>300</v>
      </c>
      <c r="Z156" s="10"/>
    </row>
    <row r="157" spans="1:26" x14ac:dyDescent="0.35">
      <c r="A157" s="4" t="s">
        <v>492</v>
      </c>
      <c r="B157" s="4" t="s">
        <v>15</v>
      </c>
      <c r="C157" s="4" t="s">
        <v>27</v>
      </c>
      <c r="D157" s="4" t="s">
        <v>492</v>
      </c>
      <c r="E157" s="4" t="s">
        <v>493</v>
      </c>
      <c r="F157" s="4" t="s">
        <v>494</v>
      </c>
      <c r="G157" s="4" t="s">
        <v>495</v>
      </c>
      <c r="H157" s="4" t="s">
        <v>20</v>
      </c>
      <c r="I157" s="5">
        <v>46229</v>
      </c>
      <c r="J157" s="4">
        <v>150</v>
      </c>
      <c r="K157" s="7">
        <v>131.80162639153261</v>
      </c>
      <c r="L157" s="7">
        <v>210.88260222645218</v>
      </c>
      <c r="M157" s="4">
        <v>1500</v>
      </c>
      <c r="N157" s="4">
        <v>4.53</v>
      </c>
      <c r="O157" s="4">
        <v>28</v>
      </c>
      <c r="P157" s="7">
        <v>0.16178571428571428</v>
      </c>
      <c r="Q157" s="4">
        <v>173</v>
      </c>
      <c r="R157" s="5">
        <v>46224.458333333299</v>
      </c>
      <c r="S157" s="9">
        <v>3</v>
      </c>
      <c r="T157" s="10">
        <v>1.96</v>
      </c>
      <c r="U157" s="10"/>
      <c r="V157" s="10"/>
      <c r="W157" s="13"/>
      <c r="X157" s="13">
        <v>200</v>
      </c>
      <c r="Y157" s="10"/>
      <c r="Z157" s="9">
        <v>-50</v>
      </c>
    </row>
    <row r="158" spans="1:26" x14ac:dyDescent="0.35">
      <c r="A158" s="4" t="s">
        <v>496</v>
      </c>
      <c r="B158" s="4" t="s">
        <v>15</v>
      </c>
      <c r="C158" s="4" t="s">
        <v>136</v>
      </c>
      <c r="D158" s="4" t="s">
        <v>496</v>
      </c>
      <c r="E158" s="4" t="s">
        <v>497</v>
      </c>
      <c r="F158" s="4" t="s">
        <v>498</v>
      </c>
      <c r="G158" s="4" t="s">
        <v>25</v>
      </c>
      <c r="H158" s="4" t="s">
        <v>53</v>
      </c>
      <c r="I158" s="5">
        <v>46229</v>
      </c>
      <c r="J158" s="4">
        <v>0</v>
      </c>
      <c r="K158" s="7">
        <v>107.30836391979157</v>
      </c>
      <c r="L158" s="7">
        <v>171.69338227166654</v>
      </c>
      <c r="M158" s="4">
        <v>80</v>
      </c>
      <c r="N158" s="4">
        <v>0</v>
      </c>
      <c r="O158" s="4">
        <v>28</v>
      </c>
      <c r="P158" s="7">
        <v>0</v>
      </c>
      <c r="Q158" s="4">
        <v>80</v>
      </c>
      <c r="R158" s="5">
        <v>46209.654861111099</v>
      </c>
      <c r="S158" s="9">
        <v>2.4375</v>
      </c>
      <c r="T158" s="10">
        <v>1.96</v>
      </c>
      <c r="U158" s="10"/>
      <c r="V158" s="10"/>
      <c r="W158" s="13"/>
      <c r="X158" s="13"/>
      <c r="Y158" s="10"/>
      <c r="Z158" s="9">
        <v>0</v>
      </c>
    </row>
    <row r="159" spans="1:26" x14ac:dyDescent="0.35">
      <c r="A159" s="4" t="s">
        <v>499</v>
      </c>
      <c r="B159" s="4" t="s">
        <v>15</v>
      </c>
      <c r="C159" s="4" t="s">
        <v>27</v>
      </c>
      <c r="D159" s="4" t="s">
        <v>499</v>
      </c>
      <c r="E159" s="4" t="s">
        <v>500</v>
      </c>
      <c r="F159" s="4" t="s">
        <v>501</v>
      </c>
      <c r="G159" s="4" t="s">
        <v>25</v>
      </c>
      <c r="H159" s="4" t="s">
        <v>20</v>
      </c>
      <c r="I159" s="5">
        <v>46229</v>
      </c>
      <c r="J159" s="4">
        <v>550</v>
      </c>
      <c r="K159" s="7">
        <v>637.41168168258537</v>
      </c>
      <c r="L159" s="7">
        <v>1019.8586906921366</v>
      </c>
      <c r="M159" s="4">
        <v>1000</v>
      </c>
      <c r="N159" s="4">
        <v>174.72</v>
      </c>
      <c r="O159" s="4">
        <v>28</v>
      </c>
      <c r="P159" s="7">
        <v>6.24</v>
      </c>
      <c r="Q159" s="4">
        <v>370</v>
      </c>
      <c r="R159" s="5">
        <v>46226.625</v>
      </c>
      <c r="S159" s="9">
        <v>2</v>
      </c>
      <c r="T159" s="10">
        <v>2.09</v>
      </c>
      <c r="U159" s="10"/>
      <c r="V159" s="10"/>
      <c r="W159" s="13"/>
      <c r="X159" s="13">
        <v>250</v>
      </c>
      <c r="Y159" s="10"/>
      <c r="Z159" s="9">
        <v>300</v>
      </c>
    </row>
    <row r="160" spans="1:26" x14ac:dyDescent="0.35">
      <c r="A160" s="4" t="s">
        <v>502</v>
      </c>
      <c r="B160" s="4" t="s">
        <v>15</v>
      </c>
      <c r="C160" s="4" t="s">
        <v>136</v>
      </c>
      <c r="D160" s="4" t="s">
        <v>502</v>
      </c>
      <c r="E160" s="4" t="s">
        <v>503</v>
      </c>
      <c r="F160" s="4" t="s">
        <v>504</v>
      </c>
      <c r="G160" s="4" t="s">
        <v>25</v>
      </c>
      <c r="H160" s="4" t="s">
        <v>53</v>
      </c>
      <c r="I160" s="5">
        <v>46229</v>
      </c>
      <c r="J160" s="4">
        <v>200</v>
      </c>
      <c r="K160" s="7">
        <v>207.23758584170827</v>
      </c>
      <c r="L160" s="7">
        <v>331.58013734673324</v>
      </c>
      <c r="M160" s="4">
        <v>1000</v>
      </c>
      <c r="N160" s="4">
        <v>119.16</v>
      </c>
      <c r="O160" s="4">
        <v>28</v>
      </c>
      <c r="P160" s="7">
        <v>4.2557142857142853</v>
      </c>
      <c r="Q160" s="4">
        <v>376</v>
      </c>
      <c r="R160" s="5">
        <v>46222.597916666702</v>
      </c>
      <c r="S160" s="9">
        <v>3.4</v>
      </c>
      <c r="T160" s="10">
        <v>2.71</v>
      </c>
      <c r="U160" s="10"/>
      <c r="V160" s="10"/>
      <c r="W160" s="13"/>
      <c r="X160" s="13">
        <v>300</v>
      </c>
      <c r="Y160" s="10"/>
      <c r="Z160" s="9">
        <v>-100</v>
      </c>
    </row>
    <row r="161" spans="1:26" x14ac:dyDescent="0.35">
      <c r="A161" s="4" t="s">
        <v>505</v>
      </c>
      <c r="B161" s="4" t="s">
        <v>15</v>
      </c>
      <c r="C161" s="4" t="s">
        <v>27</v>
      </c>
      <c r="D161" s="4" t="s">
        <v>505</v>
      </c>
      <c r="E161" s="4" t="s">
        <v>506</v>
      </c>
      <c r="F161" s="4" t="s">
        <v>507</v>
      </c>
      <c r="G161" s="4" t="s">
        <v>25</v>
      </c>
      <c r="H161" s="4" t="s">
        <v>20</v>
      </c>
      <c r="I161" s="5">
        <v>46229</v>
      </c>
      <c r="J161" s="4">
        <v>500</v>
      </c>
      <c r="K161" s="7">
        <v>458.7956730570391</v>
      </c>
      <c r="L161" s="7">
        <v>734.07307689126264</v>
      </c>
      <c r="M161" s="4">
        <v>1000</v>
      </c>
      <c r="N161" s="4">
        <v>0</v>
      </c>
      <c r="O161" s="4">
        <v>28</v>
      </c>
      <c r="P161" s="7">
        <v>0</v>
      </c>
      <c r="Q161" s="4">
        <v>170</v>
      </c>
      <c r="R161" s="5">
        <v>46223.25</v>
      </c>
      <c r="S161" s="9" t="s">
        <v>530</v>
      </c>
      <c r="T161" s="10">
        <v>1.96</v>
      </c>
      <c r="U161" s="10"/>
      <c r="V161" s="10">
        <v>100</v>
      </c>
      <c r="W161" s="13"/>
      <c r="X161" s="13"/>
      <c r="Y161" s="10"/>
      <c r="Z161" s="9">
        <v>400</v>
      </c>
    </row>
    <row r="162" spans="1:26" x14ac:dyDescent="0.35">
      <c r="A162" s="4" t="s">
        <v>508</v>
      </c>
      <c r="B162" s="4" t="s">
        <v>15</v>
      </c>
      <c r="C162" s="4" t="s">
        <v>136</v>
      </c>
      <c r="D162" s="4" t="s">
        <v>508</v>
      </c>
      <c r="E162" s="4" t="s">
        <v>509</v>
      </c>
      <c r="F162" s="4" t="s">
        <v>510</v>
      </c>
      <c r="G162" s="4" t="s">
        <v>25</v>
      </c>
      <c r="H162" s="4" t="s">
        <v>67</v>
      </c>
      <c r="I162" s="5">
        <v>46229</v>
      </c>
      <c r="J162" s="4">
        <v>400</v>
      </c>
      <c r="K162" s="7">
        <v>999.59964112046362</v>
      </c>
      <c r="L162" s="7">
        <v>1599.3594257927418</v>
      </c>
      <c r="M162" s="4">
        <v>1000</v>
      </c>
      <c r="N162" s="4">
        <v>524.07000000000005</v>
      </c>
      <c r="O162" s="4">
        <v>28</v>
      </c>
      <c r="P162" s="7">
        <v>18.716785714285717</v>
      </c>
      <c r="Q162" s="4">
        <v>428</v>
      </c>
      <c r="R162" s="5">
        <v>46219.65</v>
      </c>
      <c r="S162" s="9">
        <v>3.7857142857142856</v>
      </c>
      <c r="T162" s="10">
        <v>4.34</v>
      </c>
      <c r="U162" s="10"/>
      <c r="V162" s="10">
        <v>200</v>
      </c>
      <c r="W162" s="13"/>
      <c r="X162" s="13"/>
      <c r="Y162" s="10"/>
      <c r="Z162" s="9">
        <v>200</v>
      </c>
    </row>
    <row r="163" spans="1:26" x14ac:dyDescent="0.35">
      <c r="A163" s="4" t="s">
        <v>511</v>
      </c>
      <c r="B163" s="4" t="s">
        <v>15</v>
      </c>
      <c r="C163" s="4" t="s">
        <v>58</v>
      </c>
      <c r="D163" s="4" t="s">
        <v>511</v>
      </c>
      <c r="E163" s="4" t="s">
        <v>512</v>
      </c>
      <c r="F163" s="4" t="s">
        <v>513</v>
      </c>
      <c r="G163" s="4" t="s">
        <v>25</v>
      </c>
      <c r="H163" s="4" t="s">
        <v>20</v>
      </c>
      <c r="I163" s="5">
        <v>46229</v>
      </c>
      <c r="J163" s="4">
        <v>0</v>
      </c>
      <c r="K163" s="7">
        <v>122.6722282612316</v>
      </c>
      <c r="L163" s="7">
        <v>196.27556521797055</v>
      </c>
      <c r="M163" s="4">
        <v>150</v>
      </c>
      <c r="N163" s="4">
        <v>27.44</v>
      </c>
      <c r="O163" s="4">
        <v>28</v>
      </c>
      <c r="P163" s="7">
        <v>0.98000000000000009</v>
      </c>
      <c r="Q163" s="4">
        <v>150</v>
      </c>
      <c r="R163" s="5">
        <v>46221.375</v>
      </c>
      <c r="S163" s="9">
        <v>1.6666666666666667</v>
      </c>
      <c r="T163" s="10">
        <v>5.54</v>
      </c>
      <c r="U163" s="10"/>
      <c r="V163" s="10"/>
      <c r="W163" s="13">
        <f t="shared" si="2"/>
        <v>0</v>
      </c>
      <c r="X163" s="13"/>
      <c r="Y163" s="10"/>
      <c r="Z163" s="10"/>
    </row>
    <row r="164" spans="1:26" x14ac:dyDescent="0.35">
      <c r="A164" s="4" t="s">
        <v>514</v>
      </c>
      <c r="B164" s="4" t="s">
        <v>15</v>
      </c>
      <c r="C164" s="4" t="s">
        <v>32</v>
      </c>
      <c r="D164" s="4" t="s">
        <v>514</v>
      </c>
      <c r="E164" s="4" t="s">
        <v>515</v>
      </c>
      <c r="F164" s="4" t="s">
        <v>516</v>
      </c>
      <c r="G164" s="4" t="s">
        <v>25</v>
      </c>
      <c r="H164" s="4" t="s">
        <v>53</v>
      </c>
      <c r="I164" s="5">
        <v>46229</v>
      </c>
      <c r="J164" s="4">
        <v>200</v>
      </c>
      <c r="K164" s="7">
        <v>107.30836391979157</v>
      </c>
      <c r="L164" s="7">
        <v>171.69338227166654</v>
      </c>
      <c r="M164" s="4">
        <v>1000</v>
      </c>
      <c r="N164" s="4">
        <v>76.430000000000007</v>
      </c>
      <c r="O164" s="4">
        <v>28</v>
      </c>
      <c r="P164" s="7">
        <v>2.7296428571428573</v>
      </c>
      <c r="Q164" s="4">
        <v>90</v>
      </c>
      <c r="R164" s="5">
        <v>46222.708333333299</v>
      </c>
      <c r="S164" s="9">
        <v>5</v>
      </c>
      <c r="T164" s="10">
        <v>3.72</v>
      </c>
      <c r="U164" s="10"/>
      <c r="V164" s="10"/>
      <c r="W164" s="13"/>
      <c r="X164" s="13"/>
      <c r="Y164" s="10">
        <v>200</v>
      </c>
      <c r="Z164" s="10"/>
    </row>
    <row r="165" spans="1:26" x14ac:dyDescent="0.35">
      <c r="A165" s="4" t="s">
        <v>517</v>
      </c>
      <c r="B165" s="4" t="s">
        <v>15</v>
      </c>
      <c r="C165" s="4" t="s">
        <v>58</v>
      </c>
      <c r="D165" s="4" t="s">
        <v>517</v>
      </c>
      <c r="E165" s="4" t="s">
        <v>518</v>
      </c>
      <c r="F165" s="4" t="s">
        <v>519</v>
      </c>
      <c r="G165" s="4" t="s">
        <v>25</v>
      </c>
      <c r="H165" s="4" t="s">
        <v>43</v>
      </c>
      <c r="I165" s="5">
        <v>46229</v>
      </c>
      <c r="J165" s="4">
        <v>0</v>
      </c>
      <c r="K165" s="7">
        <v>107.30836391979157</v>
      </c>
      <c r="L165" s="7">
        <v>171.69338227166654</v>
      </c>
      <c r="M165" s="4">
        <v>150</v>
      </c>
      <c r="N165" s="4">
        <v>19.46</v>
      </c>
      <c r="O165" s="4">
        <v>28</v>
      </c>
      <c r="P165" s="7">
        <v>0.69500000000000006</v>
      </c>
      <c r="Q165" s="4">
        <v>130</v>
      </c>
      <c r="R165" s="5">
        <v>46222.625</v>
      </c>
      <c r="S165" s="9">
        <v>2</v>
      </c>
      <c r="T165" s="10">
        <v>2.2999999999999998</v>
      </c>
      <c r="U165" s="10" t="s">
        <v>541</v>
      </c>
      <c r="V165" s="10"/>
      <c r="W165" s="13">
        <v>35</v>
      </c>
      <c r="X165" s="13"/>
      <c r="Y165" s="10"/>
      <c r="Z165" s="10"/>
    </row>
    <row r="166" spans="1:26" x14ac:dyDescent="0.35">
      <c r="A166" t="s">
        <v>523</v>
      </c>
      <c r="B166" s="4" t="s">
        <v>15</v>
      </c>
      <c r="C166" s="4" t="s">
        <v>32</v>
      </c>
      <c r="D166" s="4" t="s">
        <v>523</v>
      </c>
      <c r="E166" s="4" t="s">
        <v>524</v>
      </c>
      <c r="F166" s="4" t="s">
        <v>525</v>
      </c>
      <c r="G166" s="4" t="s">
        <v>25</v>
      </c>
      <c r="H166" s="4" t="s">
        <v>20</v>
      </c>
      <c r="I166" s="5">
        <v>46229</v>
      </c>
      <c r="J166" s="4">
        <v>50</v>
      </c>
      <c r="K166" s="7">
        <v>52.083031427216994</v>
      </c>
      <c r="L166" s="4">
        <v>83.3</v>
      </c>
      <c r="M166" s="4">
        <v>1000</v>
      </c>
      <c r="N166" s="4">
        <v>17.09</v>
      </c>
      <c r="O166" s="4">
        <v>28</v>
      </c>
      <c r="P166" s="7">
        <f>+N166/O166</f>
        <v>0.61035714285714282</v>
      </c>
      <c r="Q166" s="4">
        <v>350</v>
      </c>
      <c r="R166" s="5">
        <v>46223.432638888902</v>
      </c>
      <c r="S166" s="9" t="s">
        <v>530</v>
      </c>
      <c r="T166" s="10">
        <v>4.03</v>
      </c>
      <c r="U166" s="10"/>
      <c r="V166" s="10"/>
      <c r="W166" s="13">
        <f t="shared" si="2"/>
        <v>50</v>
      </c>
      <c r="X166" s="13"/>
      <c r="Y166" s="10"/>
      <c r="Z166" s="10"/>
    </row>
  </sheetData>
  <autoFilter ref="A2:Z166" xr:uid="{00000000-0001-0000-0000-000000000000}"/>
  <conditionalFormatting sqref="D2:E2">
    <cfRule type="duplicateValues" dxfId="3" priority="18"/>
  </conditionalFormatting>
  <conditionalFormatting sqref="D1:D2">
    <cfRule type="duplicateValues" dxfId="2" priority="15"/>
  </conditionalFormatting>
  <conditionalFormatting sqref="F1:F2">
    <cfRule type="duplicateValues" dxfId="1" priority="20"/>
  </conditionalFormatting>
  <conditionalFormatting sqref="I2">
    <cfRule type="duplicateValues" dxfId="0" priority="10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5251-50A4-4B42-8876-4D5CECE72E9F}">
  <dimension ref="A1:E9"/>
  <sheetViews>
    <sheetView tabSelected="1" workbookViewId="0">
      <selection activeCell="I1" sqref="I1"/>
    </sheetView>
  </sheetViews>
  <sheetFormatPr defaultRowHeight="14.5" x14ac:dyDescent="0.35"/>
  <cols>
    <col min="1" max="1" width="11.54296875" customWidth="1"/>
    <col min="2" max="2" width="14.08984375" customWidth="1"/>
    <col min="4" max="4" width="10.54296875" customWidth="1"/>
  </cols>
  <sheetData>
    <row r="1" spans="1:5" x14ac:dyDescent="0.35">
      <c r="B1" s="6">
        <f>+SUBTOTAL(109,B3:B9)</f>
        <v>20215</v>
      </c>
      <c r="C1" s="6">
        <f>+SUBTOTAL(109,C3:C9)</f>
        <v>11160</v>
      </c>
      <c r="D1" s="6">
        <f>+SUBTOTAL(109,D3:D9)</f>
        <v>9055</v>
      </c>
    </row>
    <row r="2" spans="1:5" x14ac:dyDescent="0.35">
      <c r="A2" s="15" t="s">
        <v>543</v>
      </c>
      <c r="B2" s="15" t="s">
        <v>544</v>
      </c>
      <c r="C2" s="16">
        <v>46229</v>
      </c>
      <c r="D2" s="16">
        <v>46230</v>
      </c>
      <c r="E2" s="15" t="s">
        <v>540</v>
      </c>
    </row>
    <row r="3" spans="1:5" x14ac:dyDescent="0.35">
      <c r="A3" s="10" t="s">
        <v>32</v>
      </c>
      <c r="B3" s="10">
        <f>C3+D3</f>
        <v>3695</v>
      </c>
      <c r="C3" s="10">
        <v>1370</v>
      </c>
      <c r="D3" s="10">
        <v>2325</v>
      </c>
      <c r="E3" s="10"/>
    </row>
    <row r="4" spans="1:5" x14ac:dyDescent="0.35">
      <c r="A4" s="10" t="s">
        <v>40</v>
      </c>
      <c r="B4" s="10">
        <f t="shared" ref="B4:B9" si="0">C4+D4</f>
        <v>5520</v>
      </c>
      <c r="C4" s="10">
        <v>3540</v>
      </c>
      <c r="D4" s="10">
        <v>1980</v>
      </c>
      <c r="E4" s="10"/>
    </row>
    <row r="5" spans="1:5" x14ac:dyDescent="0.35">
      <c r="A5" s="10" t="s">
        <v>22</v>
      </c>
      <c r="B5" s="10">
        <f t="shared" si="0"/>
        <v>900</v>
      </c>
      <c r="C5" s="10">
        <v>0</v>
      </c>
      <c r="D5" s="10">
        <v>900</v>
      </c>
      <c r="E5" s="10"/>
    </row>
    <row r="6" spans="1:5" x14ac:dyDescent="0.35">
      <c r="A6" s="10" t="s">
        <v>545</v>
      </c>
      <c r="B6" s="10">
        <f t="shared" si="0"/>
        <v>1500</v>
      </c>
      <c r="C6" s="10">
        <v>1300</v>
      </c>
      <c r="D6" s="10">
        <v>200</v>
      </c>
      <c r="E6" s="10"/>
    </row>
    <row r="7" spans="1:5" x14ac:dyDescent="0.35">
      <c r="A7" s="10" t="s">
        <v>16</v>
      </c>
      <c r="B7" s="10">
        <f t="shared" si="0"/>
        <v>3100</v>
      </c>
      <c r="C7" s="10">
        <v>2000</v>
      </c>
      <c r="D7" s="10">
        <v>1100</v>
      </c>
      <c r="E7" s="10"/>
    </row>
    <row r="8" spans="1:5" x14ac:dyDescent="0.35">
      <c r="A8" s="10" t="s">
        <v>546</v>
      </c>
      <c r="B8" s="10">
        <f t="shared" si="0"/>
        <v>4050</v>
      </c>
      <c r="C8" s="10">
        <v>2450</v>
      </c>
      <c r="D8" s="10">
        <v>1600</v>
      </c>
      <c r="E8" s="10"/>
    </row>
    <row r="9" spans="1:5" x14ac:dyDescent="0.35">
      <c r="A9" s="10" t="s">
        <v>27</v>
      </c>
      <c r="B9" s="10">
        <f t="shared" si="0"/>
        <v>1450</v>
      </c>
      <c r="C9" s="10">
        <v>500</v>
      </c>
      <c r="D9" s="10">
        <v>950</v>
      </c>
      <c r="E9" s="10"/>
    </row>
  </sheetData>
  <autoFilter ref="A2:E9" xr:uid="{63765251-50A4-4B42-8876-4D5CECE72E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GRATO GLOBAL</dc:creator>
  <cp:lastModifiedBy>USER</cp:lastModifiedBy>
  <dcterms:created xsi:type="dcterms:W3CDTF">2015-06-05T18:17:20Z</dcterms:created>
  <dcterms:modified xsi:type="dcterms:W3CDTF">2026-07-28T11:31:57Z</dcterms:modified>
</cp:coreProperties>
</file>